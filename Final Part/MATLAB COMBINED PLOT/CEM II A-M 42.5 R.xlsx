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6254724213a8da/Documents/MATLAB/"/>
    </mc:Choice>
  </mc:AlternateContent>
  <xr:revisionPtr revIDLastSave="129" documentId="8_{E820042F-3D27-45A3-9C2F-6802445E26AC}" xr6:coauthVersionLast="47" xr6:coauthVersionMax="47" xr10:uidLastSave="{FB5ABBF3-5DEC-4037-8166-801166CF75C3}"/>
  <bookViews>
    <workbookView xWindow="-108" yWindow="-108" windowWidth="23256" windowHeight="12456" xr2:uid="{B63FBD12-CE28-4D01-9DAF-A71A68F88515}"/>
  </bookViews>
  <sheets>
    <sheet name="CEM II AM 42.5 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" l="1"/>
  <c r="N7" i="1"/>
  <c r="N8" i="1"/>
  <c r="N9" i="1"/>
  <c r="N10" i="1"/>
  <c r="N11" i="1"/>
  <c r="N12" i="1"/>
  <c r="O12" i="1" s="1"/>
  <c r="N13" i="1"/>
  <c r="N14" i="1"/>
  <c r="O14" i="1" s="1"/>
  <c r="N15" i="1"/>
  <c r="O15" i="1" s="1"/>
  <c r="N16" i="1"/>
  <c r="O16" i="1" s="1"/>
  <c r="N17" i="1"/>
  <c r="O17" i="1" s="1"/>
  <c r="N18" i="1"/>
  <c r="N19" i="1"/>
  <c r="N20" i="1"/>
  <c r="N21" i="1"/>
  <c r="N22" i="1"/>
  <c r="N23" i="1"/>
  <c r="N24" i="1"/>
  <c r="O24" i="1" s="1"/>
  <c r="N25" i="1"/>
  <c r="N26" i="1"/>
  <c r="O26" i="1" s="1"/>
  <c r="N27" i="1"/>
  <c r="O27" i="1" s="1"/>
  <c r="N28" i="1"/>
  <c r="O28" i="1" s="1"/>
  <c r="N29" i="1"/>
  <c r="O29" i="1" s="1"/>
  <c r="N30" i="1"/>
  <c r="N31" i="1"/>
  <c r="N32" i="1"/>
  <c r="N33" i="1"/>
  <c r="N34" i="1"/>
  <c r="N35" i="1"/>
  <c r="N36" i="1"/>
  <c r="O36" i="1" s="1"/>
  <c r="N37" i="1"/>
  <c r="N38" i="1"/>
  <c r="O38" i="1" s="1"/>
  <c r="N39" i="1"/>
  <c r="O39" i="1" s="1"/>
  <c r="N40" i="1"/>
  <c r="O40" i="1" s="1"/>
  <c r="N41" i="1"/>
  <c r="O41" i="1" s="1"/>
  <c r="N42" i="1"/>
  <c r="N43" i="1"/>
  <c r="N44" i="1"/>
  <c r="N45" i="1"/>
  <c r="N46" i="1"/>
  <c r="N47" i="1"/>
  <c r="N48" i="1"/>
  <c r="O48" i="1" s="1"/>
  <c r="N49" i="1"/>
  <c r="N50" i="1"/>
  <c r="O50" i="1" s="1"/>
  <c r="N51" i="1"/>
  <c r="O51" i="1" s="1"/>
  <c r="N52" i="1"/>
  <c r="O52" i="1" s="1"/>
  <c r="N53" i="1"/>
  <c r="O53" i="1" s="1"/>
  <c r="N54" i="1"/>
  <c r="N55" i="1"/>
  <c r="N56" i="1"/>
  <c r="N57" i="1"/>
  <c r="N58" i="1"/>
  <c r="N59" i="1"/>
  <c r="N60" i="1"/>
  <c r="O60" i="1" s="1"/>
  <c r="N61" i="1"/>
  <c r="N62" i="1"/>
  <c r="O62" i="1" s="1"/>
  <c r="N63" i="1"/>
  <c r="O63" i="1" s="1"/>
  <c r="N64" i="1"/>
  <c r="O64" i="1" s="1"/>
  <c r="N65" i="1"/>
  <c r="O65" i="1" s="1"/>
  <c r="N66" i="1"/>
  <c r="N67" i="1"/>
  <c r="N68" i="1"/>
  <c r="N69" i="1"/>
  <c r="N70" i="1"/>
  <c r="N71" i="1"/>
  <c r="N72" i="1"/>
  <c r="O72" i="1" s="1"/>
  <c r="N73" i="1"/>
  <c r="N74" i="1"/>
  <c r="O74" i="1" s="1"/>
  <c r="N75" i="1"/>
  <c r="O75" i="1" s="1"/>
  <c r="N76" i="1"/>
  <c r="O76" i="1" s="1"/>
  <c r="N77" i="1"/>
  <c r="O77" i="1" s="1"/>
  <c r="N78" i="1"/>
  <c r="N79" i="1"/>
  <c r="N80" i="1"/>
  <c r="N81" i="1"/>
  <c r="N82" i="1"/>
  <c r="N83" i="1"/>
  <c r="N84" i="1"/>
  <c r="O84" i="1" s="1"/>
  <c r="N85" i="1"/>
  <c r="N86" i="1"/>
  <c r="O86" i="1" s="1"/>
  <c r="N87" i="1"/>
  <c r="O87" i="1" s="1"/>
  <c r="N88" i="1"/>
  <c r="O88" i="1" s="1"/>
  <c r="N89" i="1"/>
  <c r="O89" i="1" s="1"/>
  <c r="N90" i="1"/>
  <c r="N91" i="1"/>
  <c r="N92" i="1"/>
  <c r="N93" i="1"/>
  <c r="N94" i="1"/>
  <c r="N5" i="1"/>
  <c r="O6" i="1"/>
  <c r="O7" i="1"/>
  <c r="O8" i="1"/>
  <c r="O9" i="1"/>
  <c r="O10" i="1"/>
  <c r="O11" i="1"/>
  <c r="O13" i="1"/>
  <c r="O18" i="1"/>
  <c r="O19" i="1"/>
  <c r="O20" i="1"/>
  <c r="O21" i="1"/>
  <c r="O22" i="1"/>
  <c r="O23" i="1"/>
  <c r="O25" i="1"/>
  <c r="O30" i="1"/>
  <c r="O31" i="1"/>
  <c r="O32" i="1"/>
  <c r="O33" i="1"/>
  <c r="O34" i="1"/>
  <c r="O35" i="1"/>
  <c r="O37" i="1"/>
  <c r="O42" i="1"/>
  <c r="O43" i="1"/>
  <c r="O44" i="1"/>
  <c r="O45" i="1"/>
  <c r="O46" i="1"/>
  <c r="O47" i="1"/>
  <c r="O49" i="1"/>
  <c r="O54" i="1"/>
  <c r="O55" i="1"/>
  <c r="O56" i="1"/>
  <c r="O57" i="1"/>
  <c r="O58" i="1"/>
  <c r="O59" i="1"/>
  <c r="O61" i="1"/>
  <c r="O66" i="1"/>
  <c r="O67" i="1"/>
  <c r="O68" i="1"/>
  <c r="O69" i="1"/>
  <c r="O70" i="1"/>
  <c r="O71" i="1"/>
  <c r="O73" i="1"/>
  <c r="O78" i="1"/>
  <c r="O79" i="1"/>
  <c r="O80" i="1"/>
  <c r="O81" i="1"/>
  <c r="O82" i="1"/>
  <c r="O83" i="1"/>
  <c r="O85" i="1"/>
  <c r="O90" i="1"/>
  <c r="O91" i="1"/>
  <c r="O92" i="1"/>
  <c r="O93" i="1"/>
  <c r="O94" i="1"/>
  <c r="O5" i="1"/>
  <c r="M94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5" i="1"/>
  <c r="R14" i="1"/>
  <c r="K94" i="1"/>
  <c r="K93" i="1"/>
  <c r="K85" i="1"/>
  <c r="K84" i="1"/>
  <c r="K83" i="1"/>
  <c r="K82" i="1"/>
  <c r="K61" i="1"/>
  <c r="K60" i="1"/>
  <c r="K59" i="1"/>
  <c r="K58" i="1"/>
  <c r="K57" i="1"/>
  <c r="K56" i="1"/>
  <c r="K55" i="1"/>
  <c r="K54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</calcChain>
</file>

<file path=xl/sharedStrings.xml><?xml version="1.0" encoding="utf-8"?>
<sst xmlns="http://schemas.openxmlformats.org/spreadsheetml/2006/main" count="94" uniqueCount="27">
  <si>
    <t>Room Temperature</t>
  </si>
  <si>
    <t>Cement Temperature</t>
  </si>
  <si>
    <t>Time</t>
  </si>
  <si>
    <t xml:space="preserve">Universal Time </t>
  </si>
  <si>
    <t xml:space="preserve">T(amb) </t>
  </si>
  <si>
    <t xml:space="preserve">T(sample) </t>
  </si>
  <si>
    <t>t( clock data)</t>
  </si>
  <si>
    <t>day 1- pm</t>
  </si>
  <si>
    <t xml:space="preserve">almost 4 hr data missing </t>
  </si>
  <si>
    <t>day-2, am</t>
  </si>
  <si>
    <t xml:space="preserve">almost 16 hr data missing </t>
  </si>
  <si>
    <t xml:space="preserve">day 2, pm </t>
  </si>
  <si>
    <t xml:space="preserve">day 3, am </t>
  </si>
  <si>
    <t xml:space="preserve">almost 9 hr data missing </t>
  </si>
  <si>
    <t>CEM 1, AM  42.5 R</t>
  </si>
  <si>
    <t xml:space="preserve">wt of cement </t>
  </si>
  <si>
    <t>gm</t>
  </si>
  <si>
    <t xml:space="preserve">wt of water content </t>
  </si>
  <si>
    <t>w/c ratio</t>
  </si>
  <si>
    <t>day-1</t>
  </si>
  <si>
    <t>day-2</t>
  </si>
  <si>
    <t>day-3</t>
  </si>
  <si>
    <t xml:space="preserve">Day correction </t>
  </si>
  <si>
    <t xml:space="preserve">Time conversion </t>
  </si>
  <si>
    <t>Final Time</t>
  </si>
  <si>
    <t>t, (minute)</t>
  </si>
  <si>
    <t xml:space="preserve">t(clock data)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</si>
</sst>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15623-9237-4A28-8B37-6A97A115C47A}">
  <dimension ref="G2:S95"/>
  <sheetViews>
    <sheetView tabSelected="1" topLeftCell="B1" workbookViewId="0">
      <selection activeCell="G5" sqref="G5"/>
    </sheetView>
  </sheetViews>
  <sheetFormatPr defaultRowHeight="14.4" x14ac:dyDescent="0.3"/>
  <cols>
    <col min="7" max="7" width="17.33203125" customWidth="1"/>
    <col min="8" max="8" width="18.44140625" customWidth="1"/>
    <col min="9" max="9" width="12" customWidth="1"/>
    <col min="11" max="11" width="14.44140625" customWidth="1"/>
    <col min="13" max="13" width="12.77734375" customWidth="1"/>
    <col min="14" max="14" width="15.5546875" customWidth="1"/>
    <col min="15" max="15" width="11.109375" customWidth="1"/>
  </cols>
  <sheetData>
    <row r="2" spans="7:19" x14ac:dyDescent="0.3">
      <c r="G2" s="1" t="s">
        <v>0</v>
      </c>
      <c r="H2" s="1" t="s">
        <v>1</v>
      </c>
      <c r="I2" s="1" t="s">
        <v>2</v>
      </c>
      <c r="K2" s="2" t="s">
        <v>3</v>
      </c>
      <c r="M2" s="1" t="s">
        <v>22</v>
      </c>
      <c r="N2" s="1" t="s">
        <v>23</v>
      </c>
      <c r="O2" s="1" t="s">
        <v>24</v>
      </c>
    </row>
    <row r="3" spans="7:19" x14ac:dyDescent="0.3">
      <c r="G3" t="s">
        <v>4</v>
      </c>
      <c r="H3" t="s">
        <v>5</v>
      </c>
      <c r="I3" t="s">
        <v>6</v>
      </c>
      <c r="K3" s="3" t="s">
        <v>26</v>
      </c>
      <c r="O3" t="s">
        <v>25</v>
      </c>
    </row>
    <row r="4" spans="7:19" x14ac:dyDescent="0.3">
      <c r="K4" s="3">
        <v>12.03</v>
      </c>
    </row>
    <row r="5" spans="7:19" x14ac:dyDescent="0.3">
      <c r="G5">
        <v>22.9</v>
      </c>
      <c r="H5">
        <v>24.2</v>
      </c>
      <c r="I5">
        <v>12.03</v>
      </c>
      <c r="J5" t="s">
        <v>7</v>
      </c>
      <c r="K5" s="3">
        <v>12.03</v>
      </c>
      <c r="L5" t="s">
        <v>19</v>
      </c>
      <c r="M5">
        <f>IF(L5="DAY-1",(-12*60-3),IF(L5="day-2",12*60,IF(L5="day-3",36*60,0)))</f>
        <v>-723</v>
      </c>
      <c r="N5">
        <f>IF((ROUND(K5,0)&lt;K5),(ROUND(K5,0)*60+(K5-ROUND(K5,0))*100),IF(K5&lt;&gt;0,((ROUND(K5,0)*60+(K5-ROUND(K5,0))*100)+40),0))</f>
        <v>722.99999999999989</v>
      </c>
      <c r="O5">
        <f>N5+M5</f>
        <v>0</v>
      </c>
    </row>
    <row r="6" spans="7:19" x14ac:dyDescent="0.3">
      <c r="G6">
        <v>22.8</v>
      </c>
      <c r="H6">
        <v>24.3</v>
      </c>
      <c r="I6">
        <v>12.1</v>
      </c>
      <c r="K6" s="3">
        <v>12.1</v>
      </c>
      <c r="L6" t="s">
        <v>19</v>
      </c>
      <c r="M6">
        <f t="shared" ref="M6:M69" si="0">IF(L6="DAY-1",(-12*60-3),IF(L6="day-2",12*60,IF(L6="day-3",36*60,0)))</f>
        <v>-723</v>
      </c>
      <c r="N6">
        <f t="shared" ref="N6:N69" si="1">IF((ROUND(K6,0)&lt;K6),(ROUND(K6,0)*60+(K6-ROUND(K6,0))*100),IF(K6&lt;&gt;0,((ROUND(K6,0)*60+(K6-ROUND(K6,0))*100)+40),0))</f>
        <v>730</v>
      </c>
      <c r="O6">
        <f t="shared" ref="O6:O69" si="2">N6+M6</f>
        <v>7</v>
      </c>
    </row>
    <row r="7" spans="7:19" x14ac:dyDescent="0.3">
      <c r="G7">
        <v>22.8</v>
      </c>
      <c r="H7">
        <v>24.4</v>
      </c>
      <c r="I7">
        <v>12.17</v>
      </c>
      <c r="K7" s="3">
        <v>12.17</v>
      </c>
      <c r="L7" t="s">
        <v>19</v>
      </c>
      <c r="M7">
        <f t="shared" si="0"/>
        <v>-723</v>
      </c>
      <c r="N7">
        <f t="shared" si="1"/>
        <v>737</v>
      </c>
      <c r="O7">
        <f t="shared" si="2"/>
        <v>14</v>
      </c>
    </row>
    <row r="8" spans="7:19" x14ac:dyDescent="0.3">
      <c r="G8">
        <v>22.8</v>
      </c>
      <c r="H8">
        <v>24.5</v>
      </c>
      <c r="I8">
        <v>12.26</v>
      </c>
      <c r="K8" s="3">
        <v>12.26</v>
      </c>
      <c r="L8" t="s">
        <v>19</v>
      </c>
      <c r="M8">
        <f t="shared" si="0"/>
        <v>-723</v>
      </c>
      <c r="N8">
        <f t="shared" si="1"/>
        <v>746</v>
      </c>
      <c r="O8">
        <f t="shared" si="2"/>
        <v>23</v>
      </c>
      <c r="Q8" t="s">
        <v>14</v>
      </c>
    </row>
    <row r="9" spans="7:19" x14ac:dyDescent="0.3">
      <c r="G9">
        <v>22.8</v>
      </c>
      <c r="H9">
        <v>24.6</v>
      </c>
      <c r="I9">
        <v>12.43</v>
      </c>
      <c r="K9" s="3">
        <v>12.43</v>
      </c>
      <c r="L9" t="s">
        <v>19</v>
      </c>
      <c r="M9">
        <f t="shared" si="0"/>
        <v>-723</v>
      </c>
      <c r="N9">
        <f t="shared" si="1"/>
        <v>763</v>
      </c>
      <c r="O9">
        <f t="shared" si="2"/>
        <v>40</v>
      </c>
    </row>
    <row r="10" spans="7:19" x14ac:dyDescent="0.3">
      <c r="G10">
        <v>22.8</v>
      </c>
      <c r="H10">
        <v>24.6</v>
      </c>
      <c r="I10">
        <v>1</v>
      </c>
      <c r="K10" s="3">
        <f>I10+12</f>
        <v>13</v>
      </c>
      <c r="L10" t="s">
        <v>19</v>
      </c>
      <c r="M10">
        <f t="shared" si="0"/>
        <v>-723</v>
      </c>
      <c r="N10">
        <f t="shared" si="1"/>
        <v>820</v>
      </c>
      <c r="O10">
        <f t="shared" si="2"/>
        <v>97</v>
      </c>
    </row>
    <row r="11" spans="7:19" x14ac:dyDescent="0.3">
      <c r="G11">
        <v>22.8</v>
      </c>
      <c r="H11">
        <v>24.6</v>
      </c>
      <c r="I11">
        <v>1.1000000000000001</v>
      </c>
      <c r="K11" s="3">
        <f t="shared" ref="K11:K46" si="3">I11+12</f>
        <v>13.1</v>
      </c>
      <c r="L11" t="s">
        <v>19</v>
      </c>
      <c r="M11">
        <f t="shared" si="0"/>
        <v>-723</v>
      </c>
      <c r="N11">
        <f t="shared" si="1"/>
        <v>790</v>
      </c>
      <c r="O11">
        <f t="shared" si="2"/>
        <v>67</v>
      </c>
      <c r="Q11" t="s">
        <v>15</v>
      </c>
      <c r="R11">
        <v>250.5</v>
      </c>
      <c r="S11" t="s">
        <v>16</v>
      </c>
    </row>
    <row r="12" spans="7:19" x14ac:dyDescent="0.3">
      <c r="G12">
        <v>26.6</v>
      </c>
      <c r="H12">
        <v>24.7</v>
      </c>
      <c r="I12">
        <v>1.31</v>
      </c>
      <c r="K12" s="3">
        <f t="shared" si="3"/>
        <v>13.31</v>
      </c>
      <c r="L12" t="s">
        <v>19</v>
      </c>
      <c r="M12">
        <f t="shared" si="0"/>
        <v>-723</v>
      </c>
      <c r="N12">
        <f t="shared" si="1"/>
        <v>811</v>
      </c>
      <c r="O12">
        <f t="shared" si="2"/>
        <v>88</v>
      </c>
      <c r="Q12" t="s">
        <v>17</v>
      </c>
      <c r="R12">
        <v>101.6</v>
      </c>
      <c r="S12" t="s">
        <v>16</v>
      </c>
    </row>
    <row r="13" spans="7:19" x14ac:dyDescent="0.3">
      <c r="G13">
        <v>26.2</v>
      </c>
      <c r="H13">
        <v>25.1</v>
      </c>
      <c r="I13">
        <v>2.02</v>
      </c>
      <c r="K13" s="3">
        <f t="shared" si="3"/>
        <v>14.02</v>
      </c>
      <c r="L13" t="s">
        <v>19</v>
      </c>
      <c r="M13">
        <f t="shared" si="0"/>
        <v>-723</v>
      </c>
      <c r="N13">
        <f t="shared" si="1"/>
        <v>842</v>
      </c>
      <c r="O13">
        <f t="shared" si="2"/>
        <v>119</v>
      </c>
    </row>
    <row r="14" spans="7:19" x14ac:dyDescent="0.3">
      <c r="G14">
        <v>26.3</v>
      </c>
      <c r="H14">
        <v>25.5</v>
      </c>
      <c r="I14">
        <v>2.2200000000000002</v>
      </c>
      <c r="K14" s="3">
        <f t="shared" si="3"/>
        <v>14.22</v>
      </c>
      <c r="L14" t="s">
        <v>19</v>
      </c>
      <c r="M14">
        <f t="shared" si="0"/>
        <v>-723</v>
      </c>
      <c r="N14">
        <f t="shared" si="1"/>
        <v>862.00000000000011</v>
      </c>
      <c r="O14">
        <f t="shared" si="2"/>
        <v>139.00000000000011</v>
      </c>
      <c r="Q14" t="s">
        <v>18</v>
      </c>
      <c r="R14" s="4">
        <f>R12/R11</f>
        <v>0.40558882235528942</v>
      </c>
    </row>
    <row r="15" spans="7:19" x14ac:dyDescent="0.3">
      <c r="G15">
        <v>26.4</v>
      </c>
      <c r="H15">
        <v>25.7</v>
      </c>
      <c r="I15">
        <v>2.35</v>
      </c>
      <c r="K15" s="3">
        <f t="shared" si="3"/>
        <v>14.35</v>
      </c>
      <c r="L15" t="s">
        <v>19</v>
      </c>
      <c r="M15">
        <f t="shared" si="0"/>
        <v>-723</v>
      </c>
      <c r="N15">
        <f t="shared" si="1"/>
        <v>875</v>
      </c>
      <c r="O15">
        <f t="shared" si="2"/>
        <v>152</v>
      </c>
    </row>
    <row r="16" spans="7:19" x14ac:dyDescent="0.3">
      <c r="G16">
        <v>26.4</v>
      </c>
      <c r="H16">
        <v>26</v>
      </c>
      <c r="I16">
        <v>2.46</v>
      </c>
      <c r="K16" s="3">
        <f t="shared" si="3"/>
        <v>14.46</v>
      </c>
      <c r="L16" t="s">
        <v>19</v>
      </c>
      <c r="M16">
        <f t="shared" si="0"/>
        <v>-723</v>
      </c>
      <c r="N16">
        <f t="shared" si="1"/>
        <v>886.00000000000011</v>
      </c>
      <c r="O16">
        <f t="shared" si="2"/>
        <v>163.00000000000011</v>
      </c>
    </row>
    <row r="17" spans="7:15" x14ac:dyDescent="0.3">
      <c r="G17">
        <v>26.4</v>
      </c>
      <c r="H17">
        <v>26.1</v>
      </c>
      <c r="I17">
        <v>2.4900000000000002</v>
      </c>
      <c r="K17" s="3">
        <f t="shared" si="3"/>
        <v>14.49</v>
      </c>
      <c r="L17" t="s">
        <v>19</v>
      </c>
      <c r="M17">
        <f t="shared" si="0"/>
        <v>-723</v>
      </c>
      <c r="N17">
        <f t="shared" si="1"/>
        <v>889</v>
      </c>
      <c r="O17">
        <f t="shared" si="2"/>
        <v>166</v>
      </c>
    </row>
    <row r="18" spans="7:15" x14ac:dyDescent="0.3">
      <c r="G18">
        <v>26.5</v>
      </c>
      <c r="H18">
        <v>27.3</v>
      </c>
      <c r="I18">
        <v>3.2</v>
      </c>
      <c r="K18" s="3">
        <f t="shared" si="3"/>
        <v>15.2</v>
      </c>
      <c r="L18" t="s">
        <v>19</v>
      </c>
      <c r="M18">
        <f t="shared" si="0"/>
        <v>-723</v>
      </c>
      <c r="N18">
        <f t="shared" si="1"/>
        <v>919.99999999999989</v>
      </c>
      <c r="O18">
        <f t="shared" si="2"/>
        <v>196.99999999999989</v>
      </c>
    </row>
    <row r="19" spans="7:15" x14ac:dyDescent="0.3">
      <c r="G19">
        <v>26.6</v>
      </c>
      <c r="H19">
        <v>27.4</v>
      </c>
      <c r="I19">
        <v>3.37</v>
      </c>
      <c r="K19" s="3">
        <f t="shared" si="3"/>
        <v>15.370000000000001</v>
      </c>
      <c r="L19" t="s">
        <v>19</v>
      </c>
      <c r="M19">
        <f t="shared" si="0"/>
        <v>-723</v>
      </c>
      <c r="N19">
        <f t="shared" si="1"/>
        <v>937.00000000000011</v>
      </c>
      <c r="O19">
        <f t="shared" si="2"/>
        <v>214.00000000000011</v>
      </c>
    </row>
    <row r="20" spans="7:15" x14ac:dyDescent="0.3">
      <c r="G20">
        <v>26.5</v>
      </c>
      <c r="H20">
        <v>27.8</v>
      </c>
      <c r="I20">
        <v>3.47</v>
      </c>
      <c r="K20" s="3">
        <f t="shared" si="3"/>
        <v>15.47</v>
      </c>
      <c r="L20" t="s">
        <v>19</v>
      </c>
      <c r="M20">
        <f t="shared" si="0"/>
        <v>-723</v>
      </c>
      <c r="N20">
        <f t="shared" si="1"/>
        <v>947.00000000000011</v>
      </c>
      <c r="O20">
        <f t="shared" si="2"/>
        <v>224.00000000000011</v>
      </c>
    </row>
    <row r="21" spans="7:15" x14ac:dyDescent="0.3">
      <c r="G21">
        <v>26.5</v>
      </c>
      <c r="H21">
        <v>28</v>
      </c>
      <c r="I21">
        <v>3.51</v>
      </c>
      <c r="K21" s="3">
        <f t="shared" si="3"/>
        <v>15.51</v>
      </c>
      <c r="L21" t="s">
        <v>19</v>
      </c>
      <c r="M21">
        <f t="shared" si="0"/>
        <v>-723</v>
      </c>
      <c r="N21">
        <f t="shared" si="1"/>
        <v>951</v>
      </c>
      <c r="O21">
        <f t="shared" si="2"/>
        <v>228</v>
      </c>
    </row>
    <row r="22" spans="7:15" x14ac:dyDescent="0.3">
      <c r="G22">
        <v>26.6</v>
      </c>
      <c r="H22">
        <v>29.1</v>
      </c>
      <c r="I22">
        <v>4.1900000000000004</v>
      </c>
      <c r="K22" s="3">
        <f t="shared" si="3"/>
        <v>16.190000000000001</v>
      </c>
      <c r="L22" t="s">
        <v>19</v>
      </c>
      <c r="M22">
        <f t="shared" si="0"/>
        <v>-723</v>
      </c>
      <c r="N22">
        <f t="shared" si="1"/>
        <v>979.00000000000011</v>
      </c>
      <c r="O22">
        <f t="shared" si="2"/>
        <v>256.00000000000011</v>
      </c>
    </row>
    <row r="23" spans="7:15" x14ac:dyDescent="0.3">
      <c r="G23">
        <v>26.5</v>
      </c>
      <c r="H23">
        <v>30.7</v>
      </c>
      <c r="I23">
        <v>4.49</v>
      </c>
      <c r="K23" s="3">
        <f t="shared" si="3"/>
        <v>16.490000000000002</v>
      </c>
      <c r="L23" t="s">
        <v>19</v>
      </c>
      <c r="M23">
        <f t="shared" si="0"/>
        <v>-723</v>
      </c>
      <c r="N23">
        <f t="shared" si="1"/>
        <v>1009.0000000000002</v>
      </c>
      <c r="O23">
        <f t="shared" si="2"/>
        <v>286.00000000000023</v>
      </c>
    </row>
    <row r="24" spans="7:15" x14ac:dyDescent="0.3">
      <c r="G24">
        <v>26.6</v>
      </c>
      <c r="H24">
        <v>31.4</v>
      </c>
      <c r="I24">
        <v>5.01</v>
      </c>
      <c r="K24" s="3">
        <f>I24+12</f>
        <v>17.009999999999998</v>
      </c>
      <c r="L24" t="s">
        <v>19</v>
      </c>
      <c r="M24">
        <f t="shared" si="0"/>
        <v>-723</v>
      </c>
      <c r="N24">
        <f t="shared" si="1"/>
        <v>1020.9999999999998</v>
      </c>
      <c r="O24">
        <f t="shared" si="2"/>
        <v>297.99999999999977</v>
      </c>
    </row>
    <row r="25" spans="7:15" x14ac:dyDescent="0.3">
      <c r="G25">
        <v>26.7</v>
      </c>
      <c r="H25">
        <v>33.200000000000003</v>
      </c>
      <c r="I25">
        <v>5.31</v>
      </c>
      <c r="K25" s="3">
        <f t="shared" si="3"/>
        <v>17.309999999999999</v>
      </c>
      <c r="L25" t="s">
        <v>19</v>
      </c>
      <c r="M25">
        <f t="shared" si="0"/>
        <v>-723</v>
      </c>
      <c r="N25">
        <f t="shared" si="1"/>
        <v>1050.9999999999998</v>
      </c>
      <c r="O25">
        <f t="shared" si="2"/>
        <v>327.99999999999977</v>
      </c>
    </row>
    <row r="26" spans="7:15" x14ac:dyDescent="0.3">
      <c r="G26">
        <v>26.6</v>
      </c>
      <c r="H26">
        <v>34.200000000000003</v>
      </c>
      <c r="I26">
        <v>5.45</v>
      </c>
      <c r="K26" s="3">
        <f t="shared" si="3"/>
        <v>17.45</v>
      </c>
      <c r="L26" t="s">
        <v>19</v>
      </c>
      <c r="M26">
        <f t="shared" si="0"/>
        <v>-723</v>
      </c>
      <c r="N26">
        <f t="shared" si="1"/>
        <v>1065</v>
      </c>
      <c r="O26">
        <f t="shared" si="2"/>
        <v>342</v>
      </c>
    </row>
    <row r="27" spans="7:15" x14ac:dyDescent="0.3">
      <c r="G27">
        <v>26.6</v>
      </c>
      <c r="H27">
        <v>34.299999999999997</v>
      </c>
      <c r="I27">
        <v>5.47</v>
      </c>
      <c r="K27" s="3">
        <f t="shared" si="3"/>
        <v>17.47</v>
      </c>
      <c r="L27" t="s">
        <v>19</v>
      </c>
      <c r="M27">
        <f t="shared" si="0"/>
        <v>-723</v>
      </c>
      <c r="N27">
        <f t="shared" si="1"/>
        <v>1067</v>
      </c>
      <c r="O27">
        <f t="shared" si="2"/>
        <v>344</v>
      </c>
    </row>
    <row r="28" spans="7:15" x14ac:dyDescent="0.3">
      <c r="G28">
        <v>26.6</v>
      </c>
      <c r="H28">
        <v>38.700000000000003</v>
      </c>
      <c r="I28">
        <v>5.53</v>
      </c>
      <c r="K28" s="3">
        <f t="shared" si="3"/>
        <v>17.53</v>
      </c>
      <c r="L28" t="s">
        <v>19</v>
      </c>
      <c r="M28">
        <f t="shared" si="0"/>
        <v>-723</v>
      </c>
      <c r="N28">
        <f t="shared" si="1"/>
        <v>1073</v>
      </c>
      <c r="O28">
        <f t="shared" si="2"/>
        <v>350</v>
      </c>
    </row>
    <row r="29" spans="7:15" x14ac:dyDescent="0.3">
      <c r="G29">
        <v>26.6</v>
      </c>
      <c r="H29">
        <v>39.5</v>
      </c>
      <c r="I29">
        <v>6.52</v>
      </c>
      <c r="K29" s="3">
        <f>I29+12</f>
        <v>18.52</v>
      </c>
      <c r="L29" t="s">
        <v>19</v>
      </c>
      <c r="M29">
        <f t="shared" si="0"/>
        <v>-723</v>
      </c>
      <c r="N29">
        <f t="shared" si="1"/>
        <v>1132</v>
      </c>
      <c r="O29">
        <f t="shared" si="2"/>
        <v>409</v>
      </c>
    </row>
    <row r="30" spans="7:15" x14ac:dyDescent="0.3">
      <c r="G30">
        <v>26.4</v>
      </c>
      <c r="H30">
        <v>40.299999999999997</v>
      </c>
      <c r="I30">
        <v>7.01</v>
      </c>
      <c r="K30" s="3">
        <f t="shared" si="3"/>
        <v>19.009999999999998</v>
      </c>
      <c r="L30" t="s">
        <v>19</v>
      </c>
      <c r="M30">
        <f t="shared" si="0"/>
        <v>-723</v>
      </c>
      <c r="N30">
        <f t="shared" si="1"/>
        <v>1140.9999999999998</v>
      </c>
      <c r="O30">
        <f t="shared" si="2"/>
        <v>417.99999999999977</v>
      </c>
    </row>
    <row r="31" spans="7:15" x14ac:dyDescent="0.3">
      <c r="G31">
        <v>26.4</v>
      </c>
      <c r="H31">
        <v>40.799999999999997</v>
      </c>
      <c r="I31">
        <v>7.06</v>
      </c>
      <c r="K31" s="3">
        <f t="shared" si="3"/>
        <v>19.059999999999999</v>
      </c>
      <c r="L31" t="s">
        <v>19</v>
      </c>
      <c r="M31">
        <f t="shared" si="0"/>
        <v>-723</v>
      </c>
      <c r="N31">
        <f t="shared" si="1"/>
        <v>1145.9999999999998</v>
      </c>
      <c r="O31">
        <f t="shared" si="2"/>
        <v>422.99999999999977</v>
      </c>
    </row>
    <row r="32" spans="7:15" x14ac:dyDescent="0.3">
      <c r="G32">
        <v>26.4</v>
      </c>
      <c r="H32">
        <v>41</v>
      </c>
      <c r="I32">
        <v>7.09</v>
      </c>
      <c r="K32" s="3">
        <f t="shared" si="3"/>
        <v>19.09</v>
      </c>
      <c r="L32" t="s">
        <v>19</v>
      </c>
      <c r="M32">
        <f t="shared" si="0"/>
        <v>-723</v>
      </c>
      <c r="N32">
        <f t="shared" si="1"/>
        <v>1149</v>
      </c>
      <c r="O32">
        <f t="shared" si="2"/>
        <v>426</v>
      </c>
    </row>
    <row r="33" spans="7:15" x14ac:dyDescent="0.3">
      <c r="G33">
        <v>26.3</v>
      </c>
      <c r="H33">
        <v>41.5</v>
      </c>
      <c r="I33">
        <v>7.14</v>
      </c>
      <c r="K33" s="3">
        <f t="shared" si="3"/>
        <v>19.14</v>
      </c>
      <c r="L33" t="s">
        <v>19</v>
      </c>
      <c r="M33">
        <f t="shared" si="0"/>
        <v>-723</v>
      </c>
      <c r="N33">
        <f t="shared" si="1"/>
        <v>1154</v>
      </c>
      <c r="O33">
        <f t="shared" si="2"/>
        <v>431</v>
      </c>
    </row>
    <row r="34" spans="7:15" x14ac:dyDescent="0.3">
      <c r="G34">
        <v>26.4</v>
      </c>
      <c r="H34">
        <v>41.9</v>
      </c>
      <c r="I34">
        <v>7.18</v>
      </c>
      <c r="K34" s="3">
        <f t="shared" si="3"/>
        <v>19.18</v>
      </c>
      <c r="L34" t="s">
        <v>19</v>
      </c>
      <c r="M34">
        <f t="shared" si="0"/>
        <v>-723</v>
      </c>
      <c r="N34">
        <f t="shared" si="1"/>
        <v>1158</v>
      </c>
      <c r="O34">
        <f t="shared" si="2"/>
        <v>435</v>
      </c>
    </row>
    <row r="35" spans="7:15" x14ac:dyDescent="0.3">
      <c r="G35">
        <v>26.3</v>
      </c>
      <c r="H35">
        <v>42.3</v>
      </c>
      <c r="I35">
        <v>7.22</v>
      </c>
      <c r="K35" s="3">
        <f t="shared" si="3"/>
        <v>19.22</v>
      </c>
      <c r="L35" t="s">
        <v>19</v>
      </c>
      <c r="M35">
        <f t="shared" si="0"/>
        <v>-723</v>
      </c>
      <c r="N35">
        <f t="shared" si="1"/>
        <v>1162</v>
      </c>
      <c r="O35">
        <f t="shared" si="2"/>
        <v>439</v>
      </c>
    </row>
    <row r="36" spans="7:15" x14ac:dyDescent="0.3">
      <c r="G36">
        <v>26.3</v>
      </c>
      <c r="H36">
        <v>42.6</v>
      </c>
      <c r="I36">
        <v>7.25</v>
      </c>
      <c r="K36" s="3">
        <f t="shared" si="3"/>
        <v>19.25</v>
      </c>
      <c r="L36" t="s">
        <v>19</v>
      </c>
      <c r="M36">
        <f t="shared" si="0"/>
        <v>-723</v>
      </c>
      <c r="N36">
        <f t="shared" si="1"/>
        <v>1165</v>
      </c>
      <c r="O36">
        <f t="shared" si="2"/>
        <v>442</v>
      </c>
    </row>
    <row r="37" spans="7:15" x14ac:dyDescent="0.3">
      <c r="G37">
        <v>26.3</v>
      </c>
      <c r="H37">
        <v>43.3</v>
      </c>
      <c r="I37">
        <v>7.28</v>
      </c>
      <c r="K37" s="3">
        <f t="shared" si="3"/>
        <v>19.28</v>
      </c>
      <c r="L37" t="s">
        <v>19</v>
      </c>
      <c r="M37">
        <f t="shared" si="0"/>
        <v>-723</v>
      </c>
      <c r="N37">
        <f t="shared" si="1"/>
        <v>1168</v>
      </c>
      <c r="O37">
        <f t="shared" si="2"/>
        <v>445</v>
      </c>
    </row>
    <row r="38" spans="7:15" x14ac:dyDescent="0.3">
      <c r="G38">
        <v>26.3</v>
      </c>
      <c r="H38">
        <v>44</v>
      </c>
      <c r="I38">
        <v>7.32</v>
      </c>
      <c r="K38" s="3">
        <f t="shared" si="3"/>
        <v>19.32</v>
      </c>
      <c r="L38" t="s">
        <v>19</v>
      </c>
      <c r="M38">
        <f t="shared" si="0"/>
        <v>-723</v>
      </c>
      <c r="N38">
        <f t="shared" si="1"/>
        <v>1172</v>
      </c>
      <c r="O38">
        <f t="shared" si="2"/>
        <v>449</v>
      </c>
    </row>
    <row r="39" spans="7:15" x14ac:dyDescent="0.3">
      <c r="G39">
        <v>26.3</v>
      </c>
      <c r="H39">
        <v>44.6</v>
      </c>
      <c r="I39">
        <v>7.36</v>
      </c>
      <c r="K39" s="3">
        <f t="shared" si="3"/>
        <v>19.36</v>
      </c>
      <c r="L39" t="s">
        <v>19</v>
      </c>
      <c r="M39">
        <f t="shared" si="0"/>
        <v>-723</v>
      </c>
      <c r="N39">
        <f t="shared" si="1"/>
        <v>1176</v>
      </c>
      <c r="O39">
        <f t="shared" si="2"/>
        <v>453</v>
      </c>
    </row>
    <row r="40" spans="7:15" x14ac:dyDescent="0.3">
      <c r="G40">
        <v>26.3</v>
      </c>
      <c r="H40">
        <v>45.3</v>
      </c>
      <c r="I40">
        <v>7.4</v>
      </c>
      <c r="K40" s="3">
        <f>I40+12</f>
        <v>19.399999999999999</v>
      </c>
      <c r="L40" t="s">
        <v>19</v>
      </c>
      <c r="M40">
        <f t="shared" si="0"/>
        <v>-723</v>
      </c>
      <c r="N40">
        <f t="shared" si="1"/>
        <v>1179.9999999999998</v>
      </c>
      <c r="O40">
        <f t="shared" si="2"/>
        <v>456.99999999999977</v>
      </c>
    </row>
    <row r="41" spans="7:15" x14ac:dyDescent="0.3">
      <c r="G41">
        <v>26.4</v>
      </c>
      <c r="H41">
        <v>46</v>
      </c>
      <c r="I41">
        <v>7.44</v>
      </c>
      <c r="K41" s="3">
        <f t="shared" si="3"/>
        <v>19.440000000000001</v>
      </c>
      <c r="L41" t="s">
        <v>19</v>
      </c>
      <c r="M41">
        <f t="shared" si="0"/>
        <v>-723</v>
      </c>
      <c r="N41">
        <f t="shared" si="1"/>
        <v>1184.0000000000002</v>
      </c>
      <c r="O41">
        <f t="shared" si="2"/>
        <v>461.00000000000023</v>
      </c>
    </row>
    <row r="42" spans="7:15" x14ac:dyDescent="0.3">
      <c r="G42">
        <v>26.3</v>
      </c>
      <c r="H42">
        <v>46.9</v>
      </c>
      <c r="I42">
        <v>7.48</v>
      </c>
      <c r="K42" s="3">
        <f t="shared" si="3"/>
        <v>19.48</v>
      </c>
      <c r="L42" t="s">
        <v>19</v>
      </c>
      <c r="M42">
        <f t="shared" si="0"/>
        <v>-723</v>
      </c>
      <c r="N42">
        <f t="shared" si="1"/>
        <v>1188</v>
      </c>
      <c r="O42">
        <f t="shared" si="2"/>
        <v>465</v>
      </c>
    </row>
    <row r="43" spans="7:15" x14ac:dyDescent="0.3">
      <c r="G43">
        <v>26.2</v>
      </c>
      <c r="H43">
        <v>47.6</v>
      </c>
      <c r="I43">
        <v>7.52</v>
      </c>
      <c r="K43" s="3">
        <f t="shared" si="3"/>
        <v>19.52</v>
      </c>
      <c r="L43" t="s">
        <v>19</v>
      </c>
      <c r="M43">
        <f t="shared" si="0"/>
        <v>-723</v>
      </c>
      <c r="N43">
        <f t="shared" si="1"/>
        <v>1192</v>
      </c>
      <c r="O43">
        <f t="shared" si="2"/>
        <v>469</v>
      </c>
    </row>
    <row r="44" spans="7:15" x14ac:dyDescent="0.3">
      <c r="G44">
        <v>26.3</v>
      </c>
      <c r="H44">
        <v>48.1</v>
      </c>
      <c r="I44">
        <v>7.56</v>
      </c>
      <c r="K44" s="3">
        <f t="shared" si="3"/>
        <v>19.559999999999999</v>
      </c>
      <c r="L44" t="s">
        <v>19</v>
      </c>
      <c r="M44">
        <f t="shared" si="0"/>
        <v>-723</v>
      </c>
      <c r="N44">
        <f t="shared" si="1"/>
        <v>1195.9999999999998</v>
      </c>
      <c r="O44">
        <f t="shared" si="2"/>
        <v>472.99999999999977</v>
      </c>
    </row>
    <row r="45" spans="7:15" x14ac:dyDescent="0.3">
      <c r="G45">
        <v>26.2</v>
      </c>
      <c r="H45">
        <v>48.7</v>
      </c>
      <c r="I45">
        <v>8</v>
      </c>
      <c r="K45" s="3">
        <f t="shared" si="3"/>
        <v>20</v>
      </c>
      <c r="L45" t="s">
        <v>19</v>
      </c>
      <c r="M45">
        <f t="shared" si="0"/>
        <v>-723</v>
      </c>
      <c r="N45">
        <f t="shared" si="1"/>
        <v>1240</v>
      </c>
      <c r="O45">
        <f t="shared" si="2"/>
        <v>517</v>
      </c>
    </row>
    <row r="46" spans="7:15" x14ac:dyDescent="0.3">
      <c r="G46">
        <v>26.2</v>
      </c>
      <c r="H46">
        <v>49.3</v>
      </c>
      <c r="I46">
        <v>8.0399999999999991</v>
      </c>
      <c r="K46" s="3">
        <f t="shared" si="3"/>
        <v>20.04</v>
      </c>
      <c r="L46" t="s">
        <v>19</v>
      </c>
      <c r="M46">
        <f t="shared" si="0"/>
        <v>-723</v>
      </c>
      <c r="N46">
        <f t="shared" si="1"/>
        <v>1204</v>
      </c>
      <c r="O46">
        <f t="shared" si="2"/>
        <v>481</v>
      </c>
    </row>
    <row r="47" spans="7:15" x14ac:dyDescent="0.3">
      <c r="K47" s="3"/>
      <c r="M47">
        <f t="shared" si="0"/>
        <v>0</v>
      </c>
      <c r="N47">
        <f t="shared" si="1"/>
        <v>0</v>
      </c>
      <c r="O47">
        <f t="shared" si="2"/>
        <v>0</v>
      </c>
    </row>
    <row r="48" spans="7:15" x14ac:dyDescent="0.3">
      <c r="K48" s="3"/>
      <c r="M48">
        <f t="shared" si="0"/>
        <v>0</v>
      </c>
      <c r="N48">
        <f t="shared" si="1"/>
        <v>0</v>
      </c>
      <c r="O48">
        <f t="shared" si="2"/>
        <v>0</v>
      </c>
    </row>
    <row r="49" spans="7:15" x14ac:dyDescent="0.3">
      <c r="G49" s="5" t="s">
        <v>8</v>
      </c>
      <c r="H49" s="5"/>
      <c r="I49" s="5"/>
      <c r="K49" s="3"/>
      <c r="M49">
        <f t="shared" si="0"/>
        <v>0</v>
      </c>
      <c r="N49">
        <f t="shared" si="1"/>
        <v>0</v>
      </c>
      <c r="O49">
        <f t="shared" si="2"/>
        <v>0</v>
      </c>
    </row>
    <row r="50" spans="7:15" x14ac:dyDescent="0.3">
      <c r="G50" s="5"/>
      <c r="H50" s="5"/>
      <c r="I50" s="5"/>
      <c r="K50" s="3"/>
      <c r="M50">
        <f t="shared" si="0"/>
        <v>0</v>
      </c>
      <c r="N50">
        <f t="shared" si="1"/>
        <v>0</v>
      </c>
      <c r="O50">
        <f t="shared" si="2"/>
        <v>0</v>
      </c>
    </row>
    <row r="51" spans="7:15" x14ac:dyDescent="0.3">
      <c r="G51" s="5"/>
      <c r="H51" s="5"/>
      <c r="I51" s="5"/>
      <c r="K51" s="3"/>
      <c r="M51">
        <f t="shared" si="0"/>
        <v>0</v>
      </c>
      <c r="N51">
        <f t="shared" si="1"/>
        <v>0</v>
      </c>
      <c r="O51">
        <f t="shared" si="2"/>
        <v>0</v>
      </c>
    </row>
    <row r="52" spans="7:15" x14ac:dyDescent="0.3">
      <c r="K52" s="3"/>
      <c r="M52">
        <f t="shared" si="0"/>
        <v>0</v>
      </c>
      <c r="N52">
        <f t="shared" si="1"/>
        <v>0</v>
      </c>
      <c r="O52">
        <f t="shared" si="2"/>
        <v>0</v>
      </c>
    </row>
    <row r="53" spans="7:15" x14ac:dyDescent="0.3">
      <c r="K53" s="3"/>
      <c r="M53">
        <f t="shared" si="0"/>
        <v>0</v>
      </c>
      <c r="N53">
        <f t="shared" si="1"/>
        <v>0</v>
      </c>
      <c r="O53">
        <f t="shared" si="2"/>
        <v>0</v>
      </c>
    </row>
    <row r="54" spans="7:15" x14ac:dyDescent="0.3">
      <c r="G54">
        <v>25.6</v>
      </c>
      <c r="H54">
        <v>47.5</v>
      </c>
      <c r="I54">
        <v>12.23</v>
      </c>
      <c r="J54" t="s">
        <v>9</v>
      </c>
      <c r="K54" s="3">
        <f>I54-12</f>
        <v>0.23000000000000043</v>
      </c>
      <c r="L54" t="s">
        <v>20</v>
      </c>
      <c r="M54">
        <f t="shared" si="0"/>
        <v>720</v>
      </c>
      <c r="N54">
        <f t="shared" si="1"/>
        <v>23.000000000000043</v>
      </c>
      <c r="O54">
        <f t="shared" si="2"/>
        <v>743</v>
      </c>
    </row>
    <row r="55" spans="7:15" x14ac:dyDescent="0.3">
      <c r="G55">
        <v>25.6</v>
      </c>
      <c r="H55">
        <v>47.4</v>
      </c>
      <c r="I55">
        <v>12.24</v>
      </c>
      <c r="K55" s="3">
        <f t="shared" ref="K55:K61" si="4">I55-12</f>
        <v>0.24000000000000021</v>
      </c>
      <c r="L55" t="s">
        <v>20</v>
      </c>
      <c r="M55">
        <f t="shared" si="0"/>
        <v>720</v>
      </c>
      <c r="N55">
        <f t="shared" si="1"/>
        <v>24.000000000000021</v>
      </c>
      <c r="O55">
        <f t="shared" si="2"/>
        <v>744</v>
      </c>
    </row>
    <row r="56" spans="7:15" x14ac:dyDescent="0.3">
      <c r="G56">
        <v>25.6</v>
      </c>
      <c r="H56">
        <v>47.2</v>
      </c>
      <c r="I56">
        <v>12.26</v>
      </c>
      <c r="K56" s="3">
        <f t="shared" si="4"/>
        <v>0.25999999999999979</v>
      </c>
      <c r="L56" t="s">
        <v>20</v>
      </c>
      <c r="M56">
        <f t="shared" si="0"/>
        <v>720</v>
      </c>
      <c r="N56">
        <f t="shared" si="1"/>
        <v>25.999999999999979</v>
      </c>
      <c r="O56">
        <f t="shared" si="2"/>
        <v>746</v>
      </c>
    </row>
    <row r="57" spans="7:15" x14ac:dyDescent="0.3">
      <c r="G57">
        <v>25.6</v>
      </c>
      <c r="H57">
        <v>47.3</v>
      </c>
      <c r="I57">
        <v>12.29</v>
      </c>
      <c r="K57" s="3">
        <f t="shared" si="4"/>
        <v>0.28999999999999915</v>
      </c>
      <c r="L57" t="s">
        <v>20</v>
      </c>
      <c r="M57">
        <f t="shared" si="0"/>
        <v>720</v>
      </c>
      <c r="N57">
        <f t="shared" si="1"/>
        <v>28.999999999999915</v>
      </c>
      <c r="O57">
        <f t="shared" si="2"/>
        <v>748.99999999999989</v>
      </c>
    </row>
    <row r="58" spans="7:15" x14ac:dyDescent="0.3">
      <c r="G58">
        <v>25.6</v>
      </c>
      <c r="H58">
        <v>47.1</v>
      </c>
      <c r="I58">
        <v>12.31</v>
      </c>
      <c r="K58" s="3">
        <f t="shared" si="4"/>
        <v>0.3100000000000005</v>
      </c>
      <c r="L58" t="s">
        <v>20</v>
      </c>
      <c r="M58">
        <f t="shared" si="0"/>
        <v>720</v>
      </c>
      <c r="N58">
        <f t="shared" si="1"/>
        <v>31.00000000000005</v>
      </c>
      <c r="O58">
        <f t="shared" si="2"/>
        <v>751</v>
      </c>
    </row>
    <row r="59" spans="7:15" x14ac:dyDescent="0.3">
      <c r="G59">
        <v>25.7</v>
      </c>
      <c r="H59">
        <v>47.1</v>
      </c>
      <c r="I59">
        <v>12.34</v>
      </c>
      <c r="K59" s="3">
        <f t="shared" si="4"/>
        <v>0.33999999999999986</v>
      </c>
      <c r="L59" t="s">
        <v>20</v>
      </c>
      <c r="M59">
        <f t="shared" si="0"/>
        <v>720</v>
      </c>
      <c r="N59">
        <f t="shared" si="1"/>
        <v>33.999999999999986</v>
      </c>
      <c r="O59">
        <f t="shared" si="2"/>
        <v>754</v>
      </c>
    </row>
    <row r="60" spans="7:15" x14ac:dyDescent="0.3">
      <c r="G60">
        <v>25.4</v>
      </c>
      <c r="H60">
        <v>46.2</v>
      </c>
      <c r="I60">
        <v>12.52</v>
      </c>
      <c r="K60" s="3">
        <f t="shared" si="4"/>
        <v>0.51999999999999957</v>
      </c>
      <c r="L60" t="s">
        <v>20</v>
      </c>
      <c r="M60">
        <f t="shared" si="0"/>
        <v>720</v>
      </c>
      <c r="N60">
        <f t="shared" si="1"/>
        <v>51.999999999999957</v>
      </c>
      <c r="O60">
        <f t="shared" si="2"/>
        <v>772</v>
      </c>
    </row>
    <row r="61" spans="7:15" x14ac:dyDescent="0.3">
      <c r="G61">
        <v>25.4</v>
      </c>
      <c r="H61">
        <v>46</v>
      </c>
      <c r="I61">
        <v>12.56</v>
      </c>
      <c r="K61" s="3">
        <f t="shared" si="4"/>
        <v>0.5600000000000005</v>
      </c>
      <c r="L61" t="s">
        <v>20</v>
      </c>
      <c r="M61">
        <f t="shared" si="0"/>
        <v>720</v>
      </c>
      <c r="N61">
        <f t="shared" si="1"/>
        <v>56.00000000000005</v>
      </c>
      <c r="O61">
        <f t="shared" si="2"/>
        <v>776</v>
      </c>
    </row>
    <row r="62" spans="7:15" x14ac:dyDescent="0.3">
      <c r="G62">
        <v>25.6</v>
      </c>
      <c r="H62">
        <v>45.7</v>
      </c>
      <c r="I62">
        <v>1.04</v>
      </c>
      <c r="K62" s="3">
        <v>1.04</v>
      </c>
      <c r="L62" t="s">
        <v>20</v>
      </c>
      <c r="M62">
        <f t="shared" si="0"/>
        <v>720</v>
      </c>
      <c r="N62">
        <f t="shared" si="1"/>
        <v>64</v>
      </c>
      <c r="O62">
        <f t="shared" si="2"/>
        <v>784</v>
      </c>
    </row>
    <row r="63" spans="7:15" x14ac:dyDescent="0.3">
      <c r="G63">
        <v>25.8</v>
      </c>
      <c r="H63">
        <v>44.9</v>
      </c>
      <c r="I63">
        <v>1.1399999999999999</v>
      </c>
      <c r="K63" s="3">
        <v>1.1399999999999999</v>
      </c>
      <c r="L63" t="s">
        <v>20</v>
      </c>
      <c r="M63">
        <f t="shared" si="0"/>
        <v>720</v>
      </c>
      <c r="N63">
        <f t="shared" si="1"/>
        <v>73.999999999999986</v>
      </c>
      <c r="O63">
        <f t="shared" si="2"/>
        <v>794</v>
      </c>
    </row>
    <row r="64" spans="7:15" x14ac:dyDescent="0.3">
      <c r="G64">
        <v>25.7</v>
      </c>
      <c r="H64">
        <v>44.9</v>
      </c>
      <c r="I64">
        <v>1.18</v>
      </c>
      <c r="K64" s="3">
        <v>1.18</v>
      </c>
      <c r="L64" t="s">
        <v>20</v>
      </c>
      <c r="M64">
        <f t="shared" si="0"/>
        <v>720</v>
      </c>
      <c r="N64">
        <f t="shared" si="1"/>
        <v>78</v>
      </c>
      <c r="O64">
        <f t="shared" si="2"/>
        <v>798</v>
      </c>
    </row>
    <row r="65" spans="7:15" x14ac:dyDescent="0.3">
      <c r="G65">
        <v>25.8</v>
      </c>
      <c r="H65">
        <v>44.7</v>
      </c>
      <c r="I65">
        <v>1.22</v>
      </c>
      <c r="K65" s="3">
        <v>1.22</v>
      </c>
      <c r="L65" t="s">
        <v>20</v>
      </c>
      <c r="M65">
        <f t="shared" si="0"/>
        <v>720</v>
      </c>
      <c r="N65">
        <f t="shared" si="1"/>
        <v>82</v>
      </c>
      <c r="O65">
        <f t="shared" si="2"/>
        <v>802</v>
      </c>
    </row>
    <row r="66" spans="7:15" x14ac:dyDescent="0.3">
      <c r="G66">
        <v>25.8</v>
      </c>
      <c r="H66">
        <v>44.3</v>
      </c>
      <c r="I66">
        <v>1.28</v>
      </c>
      <c r="K66" s="3">
        <v>1.28</v>
      </c>
      <c r="L66" t="s">
        <v>20</v>
      </c>
      <c r="M66">
        <f t="shared" si="0"/>
        <v>720</v>
      </c>
      <c r="N66">
        <f t="shared" si="1"/>
        <v>88</v>
      </c>
      <c r="O66">
        <f t="shared" si="2"/>
        <v>808</v>
      </c>
    </row>
    <row r="67" spans="7:15" x14ac:dyDescent="0.3">
      <c r="G67">
        <v>26</v>
      </c>
      <c r="H67">
        <v>44.3</v>
      </c>
      <c r="I67">
        <v>1.36</v>
      </c>
      <c r="K67" s="3">
        <v>1.36</v>
      </c>
      <c r="L67" t="s">
        <v>20</v>
      </c>
      <c r="M67">
        <f t="shared" si="0"/>
        <v>720</v>
      </c>
      <c r="N67">
        <f t="shared" si="1"/>
        <v>96</v>
      </c>
      <c r="O67">
        <f t="shared" si="2"/>
        <v>816</v>
      </c>
    </row>
    <row r="68" spans="7:15" x14ac:dyDescent="0.3">
      <c r="G68">
        <v>25.9</v>
      </c>
      <c r="H68">
        <v>43.8</v>
      </c>
      <c r="I68">
        <v>1.37</v>
      </c>
      <c r="K68" s="3">
        <v>1.37</v>
      </c>
      <c r="L68" t="s">
        <v>20</v>
      </c>
      <c r="M68">
        <f t="shared" si="0"/>
        <v>720</v>
      </c>
      <c r="N68">
        <f t="shared" si="1"/>
        <v>97.000000000000014</v>
      </c>
      <c r="O68">
        <f t="shared" si="2"/>
        <v>817</v>
      </c>
    </row>
    <row r="69" spans="7:15" x14ac:dyDescent="0.3">
      <c r="G69">
        <v>25.8</v>
      </c>
      <c r="H69">
        <v>43.5</v>
      </c>
      <c r="I69">
        <v>1.49</v>
      </c>
      <c r="K69" s="3">
        <v>1.49</v>
      </c>
      <c r="L69" t="s">
        <v>20</v>
      </c>
      <c r="M69">
        <f t="shared" si="0"/>
        <v>720</v>
      </c>
      <c r="N69">
        <f t="shared" si="1"/>
        <v>109</v>
      </c>
      <c r="O69">
        <f t="shared" si="2"/>
        <v>829</v>
      </c>
    </row>
    <row r="70" spans="7:15" x14ac:dyDescent="0.3">
      <c r="G70">
        <v>25.8</v>
      </c>
      <c r="H70">
        <v>43.5</v>
      </c>
      <c r="I70">
        <v>1.53</v>
      </c>
      <c r="K70" s="3">
        <v>1.53</v>
      </c>
      <c r="L70" t="s">
        <v>20</v>
      </c>
      <c r="M70">
        <f t="shared" ref="M70:M93" si="5">IF(L70="DAY-1",(-12*60-3),IF(L70="day-2",12*60,IF(L70="day-3",36*60,0)))</f>
        <v>720</v>
      </c>
      <c r="N70">
        <f t="shared" ref="N70:N94" si="6">IF((ROUND(K70,0)&lt;K70),(ROUND(K70,0)*60+(K70-ROUND(K70,0))*100),IF(K70&lt;&gt;0,((ROUND(K70,0)*60+(K70-ROUND(K70,0))*100)+40),0))</f>
        <v>113</v>
      </c>
      <c r="O70">
        <f t="shared" ref="O70:O94" si="7">N70+M70</f>
        <v>833</v>
      </c>
    </row>
    <row r="71" spans="7:15" x14ac:dyDescent="0.3">
      <c r="G71">
        <v>25.8</v>
      </c>
      <c r="H71">
        <v>43.3</v>
      </c>
      <c r="I71">
        <v>1.58</v>
      </c>
      <c r="K71" s="3">
        <v>1.58</v>
      </c>
      <c r="L71" t="s">
        <v>20</v>
      </c>
      <c r="M71">
        <f t="shared" si="5"/>
        <v>720</v>
      </c>
      <c r="N71">
        <f t="shared" si="6"/>
        <v>118</v>
      </c>
      <c r="O71">
        <f t="shared" si="7"/>
        <v>838</v>
      </c>
    </row>
    <row r="72" spans="7:15" x14ac:dyDescent="0.3">
      <c r="G72">
        <v>25.8</v>
      </c>
      <c r="H72">
        <v>42.5</v>
      </c>
      <c r="I72">
        <v>2.14</v>
      </c>
      <c r="K72" s="3">
        <v>2.14</v>
      </c>
      <c r="L72" t="s">
        <v>20</v>
      </c>
      <c r="M72">
        <f t="shared" si="5"/>
        <v>720</v>
      </c>
      <c r="N72">
        <f t="shared" si="6"/>
        <v>134</v>
      </c>
      <c r="O72">
        <f t="shared" si="7"/>
        <v>854</v>
      </c>
    </row>
    <row r="73" spans="7:15" x14ac:dyDescent="0.3">
      <c r="G73">
        <v>25.9</v>
      </c>
      <c r="H73">
        <v>42.2</v>
      </c>
      <c r="I73">
        <v>2.27</v>
      </c>
      <c r="K73" s="3">
        <v>2.27</v>
      </c>
      <c r="L73" t="s">
        <v>20</v>
      </c>
      <c r="M73">
        <f t="shared" si="5"/>
        <v>720</v>
      </c>
      <c r="N73">
        <f t="shared" si="6"/>
        <v>147</v>
      </c>
      <c r="O73">
        <f t="shared" si="7"/>
        <v>867</v>
      </c>
    </row>
    <row r="74" spans="7:15" x14ac:dyDescent="0.3">
      <c r="G74">
        <v>26</v>
      </c>
      <c r="H74">
        <v>41.6</v>
      </c>
      <c r="I74">
        <v>2.4300000000000002</v>
      </c>
      <c r="K74" s="3">
        <v>2.4300000000000002</v>
      </c>
      <c r="L74" t="s">
        <v>20</v>
      </c>
      <c r="M74">
        <f t="shared" si="5"/>
        <v>720</v>
      </c>
      <c r="N74">
        <f t="shared" si="6"/>
        <v>163</v>
      </c>
      <c r="O74">
        <f t="shared" si="7"/>
        <v>883</v>
      </c>
    </row>
    <row r="75" spans="7:15" x14ac:dyDescent="0.3">
      <c r="K75" s="3"/>
      <c r="M75">
        <f t="shared" si="5"/>
        <v>0</v>
      </c>
      <c r="N75">
        <f t="shared" si="6"/>
        <v>0</v>
      </c>
      <c r="O75">
        <f t="shared" si="7"/>
        <v>0</v>
      </c>
    </row>
    <row r="76" spans="7:15" x14ac:dyDescent="0.3">
      <c r="K76" s="3"/>
      <c r="M76">
        <f t="shared" si="5"/>
        <v>0</v>
      </c>
      <c r="N76">
        <f t="shared" si="6"/>
        <v>0</v>
      </c>
      <c r="O76">
        <f t="shared" si="7"/>
        <v>0</v>
      </c>
    </row>
    <row r="77" spans="7:15" x14ac:dyDescent="0.3">
      <c r="G77" s="5" t="s">
        <v>10</v>
      </c>
      <c r="H77" s="5"/>
      <c r="I77" s="5"/>
      <c r="K77" s="3"/>
      <c r="M77">
        <f t="shared" si="5"/>
        <v>0</v>
      </c>
      <c r="N77">
        <f t="shared" si="6"/>
        <v>0</v>
      </c>
      <c r="O77">
        <f t="shared" si="7"/>
        <v>0</v>
      </c>
    </row>
    <row r="78" spans="7:15" x14ac:dyDescent="0.3">
      <c r="G78" s="5"/>
      <c r="H78" s="5"/>
      <c r="I78" s="5"/>
      <c r="K78" s="3"/>
      <c r="M78">
        <f t="shared" si="5"/>
        <v>0</v>
      </c>
      <c r="N78">
        <f t="shared" si="6"/>
        <v>0</v>
      </c>
      <c r="O78">
        <f t="shared" si="7"/>
        <v>0</v>
      </c>
    </row>
    <row r="79" spans="7:15" x14ac:dyDescent="0.3">
      <c r="G79" s="5"/>
      <c r="H79" s="5"/>
      <c r="I79" s="5"/>
      <c r="K79" s="3"/>
      <c r="M79">
        <f t="shared" si="5"/>
        <v>0</v>
      </c>
      <c r="N79">
        <f t="shared" si="6"/>
        <v>0</v>
      </c>
      <c r="O79">
        <f t="shared" si="7"/>
        <v>0</v>
      </c>
    </row>
    <row r="80" spans="7:15" x14ac:dyDescent="0.3">
      <c r="K80" s="3"/>
      <c r="M80">
        <f t="shared" si="5"/>
        <v>0</v>
      </c>
      <c r="N80">
        <f t="shared" si="6"/>
        <v>0</v>
      </c>
      <c r="O80">
        <f t="shared" si="7"/>
        <v>0</v>
      </c>
    </row>
    <row r="81" spans="7:15" x14ac:dyDescent="0.3">
      <c r="K81" s="3"/>
      <c r="M81">
        <f t="shared" si="5"/>
        <v>0</v>
      </c>
      <c r="N81">
        <f t="shared" si="6"/>
        <v>0</v>
      </c>
      <c r="O81">
        <f t="shared" si="7"/>
        <v>0</v>
      </c>
    </row>
    <row r="82" spans="7:15" x14ac:dyDescent="0.3">
      <c r="G82">
        <v>26.2</v>
      </c>
      <c r="H82">
        <v>28.6</v>
      </c>
      <c r="I82">
        <v>7.36</v>
      </c>
      <c r="J82" t="s">
        <v>11</v>
      </c>
      <c r="K82" s="3">
        <f>I82+12</f>
        <v>19.36</v>
      </c>
      <c r="L82" t="s">
        <v>20</v>
      </c>
      <c r="M82">
        <f t="shared" si="5"/>
        <v>720</v>
      </c>
      <c r="N82">
        <f t="shared" si="6"/>
        <v>1176</v>
      </c>
      <c r="O82">
        <f t="shared" si="7"/>
        <v>1896</v>
      </c>
    </row>
    <row r="83" spans="7:15" x14ac:dyDescent="0.3">
      <c r="G83">
        <v>26.8</v>
      </c>
      <c r="H83">
        <v>28.5</v>
      </c>
      <c r="I83">
        <v>7.57</v>
      </c>
      <c r="K83" s="3">
        <f t="shared" ref="K83:K84" si="8">I83+12</f>
        <v>19.57</v>
      </c>
      <c r="L83" t="s">
        <v>20</v>
      </c>
      <c r="M83">
        <f t="shared" si="5"/>
        <v>720</v>
      </c>
      <c r="N83">
        <f t="shared" si="6"/>
        <v>1197</v>
      </c>
      <c r="O83">
        <f t="shared" si="7"/>
        <v>1917</v>
      </c>
    </row>
    <row r="84" spans="7:15" x14ac:dyDescent="0.3">
      <c r="G84">
        <v>26.3</v>
      </c>
      <c r="H84">
        <v>28.3</v>
      </c>
      <c r="I84">
        <v>9.49</v>
      </c>
      <c r="K84" s="3">
        <f t="shared" si="8"/>
        <v>21.490000000000002</v>
      </c>
      <c r="L84" t="s">
        <v>20</v>
      </c>
      <c r="M84">
        <f t="shared" si="5"/>
        <v>720</v>
      </c>
      <c r="N84">
        <f t="shared" si="6"/>
        <v>1309.0000000000002</v>
      </c>
      <c r="O84">
        <f t="shared" si="7"/>
        <v>2029.0000000000002</v>
      </c>
    </row>
    <row r="85" spans="7:15" x14ac:dyDescent="0.3">
      <c r="G85">
        <v>26.2</v>
      </c>
      <c r="H85">
        <v>27.9</v>
      </c>
      <c r="I85">
        <v>12.17</v>
      </c>
      <c r="J85" t="s">
        <v>12</v>
      </c>
      <c r="K85" s="3">
        <f>I85-12</f>
        <v>0.16999999999999993</v>
      </c>
      <c r="L85" t="s">
        <v>21</v>
      </c>
      <c r="M85">
        <f t="shared" si="5"/>
        <v>2160</v>
      </c>
      <c r="N85">
        <f t="shared" si="6"/>
        <v>16.999999999999993</v>
      </c>
      <c r="O85">
        <f t="shared" si="7"/>
        <v>2177</v>
      </c>
    </row>
    <row r="86" spans="7:15" x14ac:dyDescent="0.3">
      <c r="K86" s="3"/>
      <c r="M86">
        <f t="shared" si="5"/>
        <v>0</v>
      </c>
      <c r="N86">
        <f t="shared" si="6"/>
        <v>0</v>
      </c>
      <c r="O86">
        <f t="shared" si="7"/>
        <v>0</v>
      </c>
    </row>
    <row r="87" spans="7:15" x14ac:dyDescent="0.3">
      <c r="K87" s="3"/>
      <c r="M87">
        <f t="shared" si="5"/>
        <v>0</v>
      </c>
      <c r="N87">
        <f t="shared" si="6"/>
        <v>0</v>
      </c>
      <c r="O87">
        <f t="shared" si="7"/>
        <v>0</v>
      </c>
    </row>
    <row r="88" spans="7:15" x14ac:dyDescent="0.3">
      <c r="G88" s="5" t="s">
        <v>13</v>
      </c>
      <c r="H88" s="5"/>
      <c r="I88" s="5"/>
      <c r="K88" s="3"/>
      <c r="M88">
        <f t="shared" si="5"/>
        <v>0</v>
      </c>
      <c r="N88">
        <f t="shared" si="6"/>
        <v>0</v>
      </c>
      <c r="O88">
        <f t="shared" si="7"/>
        <v>0</v>
      </c>
    </row>
    <row r="89" spans="7:15" x14ac:dyDescent="0.3">
      <c r="G89" s="5"/>
      <c r="H89" s="5"/>
      <c r="I89" s="5"/>
      <c r="K89" s="3"/>
      <c r="M89">
        <f t="shared" si="5"/>
        <v>0</v>
      </c>
      <c r="N89">
        <f t="shared" si="6"/>
        <v>0</v>
      </c>
      <c r="O89">
        <f t="shared" si="7"/>
        <v>0</v>
      </c>
    </row>
    <row r="90" spans="7:15" x14ac:dyDescent="0.3">
      <c r="G90" s="5"/>
      <c r="H90" s="5"/>
      <c r="I90" s="5"/>
      <c r="K90" s="3"/>
      <c r="M90">
        <f t="shared" si="5"/>
        <v>0</v>
      </c>
      <c r="N90">
        <f t="shared" si="6"/>
        <v>0</v>
      </c>
      <c r="O90">
        <f t="shared" si="7"/>
        <v>0</v>
      </c>
    </row>
    <row r="91" spans="7:15" x14ac:dyDescent="0.3">
      <c r="K91" s="3"/>
      <c r="M91">
        <f t="shared" si="5"/>
        <v>0</v>
      </c>
      <c r="N91">
        <f t="shared" si="6"/>
        <v>0</v>
      </c>
      <c r="O91">
        <f t="shared" si="7"/>
        <v>0</v>
      </c>
    </row>
    <row r="92" spans="7:15" x14ac:dyDescent="0.3">
      <c r="K92" s="3"/>
      <c r="M92">
        <f t="shared" si="5"/>
        <v>0</v>
      </c>
      <c r="N92">
        <f t="shared" si="6"/>
        <v>0</v>
      </c>
      <c r="O92">
        <f t="shared" si="7"/>
        <v>0</v>
      </c>
    </row>
    <row r="93" spans="7:15" x14ac:dyDescent="0.3">
      <c r="G93">
        <v>25.5</v>
      </c>
      <c r="H93">
        <v>26.1</v>
      </c>
      <c r="I93">
        <v>9.1</v>
      </c>
      <c r="K93" s="3">
        <f>I93</f>
        <v>9.1</v>
      </c>
      <c r="L93" t="s">
        <v>21</v>
      </c>
      <c r="M93">
        <f t="shared" si="5"/>
        <v>2160</v>
      </c>
      <c r="N93">
        <f t="shared" si="6"/>
        <v>550</v>
      </c>
      <c r="O93">
        <f t="shared" si="7"/>
        <v>2710</v>
      </c>
    </row>
    <row r="94" spans="7:15" x14ac:dyDescent="0.3">
      <c r="G94">
        <v>26.3</v>
      </c>
      <c r="H94">
        <v>26.2</v>
      </c>
      <c r="I94">
        <v>10.33</v>
      </c>
      <c r="K94" s="3">
        <f>I94</f>
        <v>10.33</v>
      </c>
      <c r="L94" t="s">
        <v>21</v>
      </c>
      <c r="M94">
        <f>IF(L94="DAY-1",(-12*60-3),IF(L94="day-2",12*60,IF(L94="day-3",36*60,0)))</f>
        <v>2160</v>
      </c>
      <c r="N94">
        <f t="shared" si="6"/>
        <v>633</v>
      </c>
      <c r="O94">
        <f t="shared" si="7"/>
        <v>2793</v>
      </c>
    </row>
    <row r="95" spans="7:15" x14ac:dyDescent="0.3">
      <c r="K95" s="3"/>
    </row>
  </sheetData>
  <mergeCells count="3">
    <mergeCell ref="G49:I51"/>
    <mergeCell ref="G77:I79"/>
    <mergeCell ref="G88:I9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CEM II AM 42.5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Abdur Nur Tushar</dc:creator>
  <cp:lastModifiedBy>Abdur Nur Tushar</cp:lastModifiedBy>
  <dcterms:created xsi:type="dcterms:W3CDTF">2026-02-01T07:17:20Z</dcterms:created>
  <dcterms:modified xsi:type="dcterms:W3CDTF">2026-02-28T13:01:35Z</dcterms:modified>
</cp:coreProperties>
</file>