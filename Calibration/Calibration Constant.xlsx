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Calibration\"/>
    </mc:Choice>
  </mc:AlternateContent>
  <xr:revisionPtr revIDLastSave="0" documentId="13_ncr:1_{F17FD30F-9789-4D0C-A766-2839AD349494}" xr6:coauthVersionLast="47" xr6:coauthVersionMax="47" xr10:uidLastSave="{00000000-0000-0000-0000-000000000000}"/>
  <bookViews>
    <workbookView xWindow="-108" yWindow="-108" windowWidth="23256" windowHeight="12456" xr2:uid="{7FD7F354-8DEB-4761-9516-CD2B7AB37711}"/>
  </bookViews>
  <sheets>
    <sheet name="Calibration " sheetId="1" r:id="rId1"/>
    <sheet name="Exp-1, CEM 1" sheetId="2" r:id="rId2"/>
    <sheet name="Exp-2, CEM - 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38" i="1"/>
  <c r="I39" i="1"/>
  <c r="I37" i="1"/>
  <c r="P14" i="3"/>
  <c r="Q8" i="2"/>
  <c r="Q17" i="2"/>
  <c r="Q12" i="2"/>
  <c r="J94" i="3"/>
  <c r="J93" i="3"/>
  <c r="J85" i="3"/>
  <c r="J83" i="3"/>
  <c r="J84" i="3"/>
  <c r="J82" i="3"/>
  <c r="J55" i="3"/>
  <c r="J56" i="3"/>
  <c r="J57" i="3"/>
  <c r="J58" i="3"/>
  <c r="J59" i="3"/>
  <c r="J60" i="3"/>
  <c r="J61" i="3"/>
  <c r="J54" i="3"/>
  <c r="J40" i="3"/>
  <c r="J41" i="3"/>
  <c r="J42" i="3"/>
  <c r="J43" i="3"/>
  <c r="J44" i="3"/>
  <c r="J45" i="3"/>
  <c r="J46" i="3"/>
  <c r="J29" i="3"/>
  <c r="J30" i="3"/>
  <c r="J31" i="3"/>
  <c r="J32" i="3"/>
  <c r="J33" i="3"/>
  <c r="J34" i="3"/>
  <c r="J35" i="3"/>
  <c r="J36" i="3"/>
  <c r="J37" i="3"/>
  <c r="J38" i="3"/>
  <c r="J39" i="3"/>
  <c r="J24" i="3"/>
  <c r="J25" i="3"/>
  <c r="J26" i="3"/>
  <c r="J27" i="3"/>
  <c r="J28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10" i="3"/>
  <c r="S5" i="1"/>
  <c r="J17" i="1"/>
  <c r="J18" i="1"/>
  <c r="J16" i="1"/>
  <c r="H30" i="1"/>
  <c r="H19" i="1"/>
  <c r="O5" i="1" s="1"/>
  <c r="O9" i="1" l="1"/>
  <c r="O28" i="1"/>
  <c r="O29" i="1" l="1"/>
  <c r="R28" i="1" l="1"/>
</calcChain>
</file>

<file path=xl/sharedStrings.xml><?xml version="1.0" encoding="utf-8"?>
<sst xmlns="http://schemas.openxmlformats.org/spreadsheetml/2006/main" count="178" uniqueCount="75">
  <si>
    <t xml:space="preserve">Calibration Constant Determination </t>
  </si>
  <si>
    <t xml:space="preserve">Insulator Wt. </t>
  </si>
  <si>
    <t>g</t>
  </si>
  <si>
    <t xml:space="preserve">Weight </t>
  </si>
  <si>
    <t xml:space="preserve">unit </t>
  </si>
  <si>
    <t xml:space="preserve">value </t>
  </si>
  <si>
    <t xml:space="preserve">Insulator + Water wt. </t>
  </si>
  <si>
    <t xml:space="preserve">Heater Model </t>
  </si>
  <si>
    <t xml:space="preserve">Power, P </t>
  </si>
  <si>
    <t xml:space="preserve">chinese RH </t>
  </si>
  <si>
    <t>watt</t>
  </si>
  <si>
    <t xml:space="preserve">voltage, V </t>
  </si>
  <si>
    <t>volt</t>
  </si>
  <si>
    <t xml:space="preserve">Electric Current, I </t>
  </si>
  <si>
    <t>ampere</t>
  </si>
  <si>
    <t xml:space="preserve">Resisitance, R </t>
  </si>
  <si>
    <t xml:space="preserve">Ohm </t>
  </si>
  <si>
    <t>℃</t>
  </si>
  <si>
    <t xml:space="preserve">Room Temp. , T(amb) </t>
  </si>
  <si>
    <t xml:space="preserve">Determination of Heat capacity of Insulator </t>
  </si>
  <si>
    <t>gm</t>
  </si>
  <si>
    <t xml:space="preserve">Final Temp. of  Water , T(t) </t>
  </si>
  <si>
    <t xml:space="preserve">Initial Temp. of  Water, T(0) </t>
  </si>
  <si>
    <t xml:space="preserve">Time elapsed, t </t>
  </si>
  <si>
    <t>seconds</t>
  </si>
  <si>
    <t>Final Temp. of  Water, T(t)</t>
  </si>
  <si>
    <t xml:space="preserve">Initial Temp. of  Water , T(0) </t>
  </si>
  <si>
    <t>specific heat, C</t>
  </si>
  <si>
    <t>k</t>
  </si>
  <si>
    <t>m(w)xc(w) + C(insulator)</t>
  </si>
  <si>
    <t xml:space="preserve">C(w) + C(insulator) </t>
  </si>
  <si>
    <t xml:space="preserve">m(w) </t>
  </si>
  <si>
    <t xml:space="preserve">c(w) </t>
  </si>
  <si>
    <t>J/g-k</t>
  </si>
  <si>
    <t xml:space="preserve">C(insulator) </t>
  </si>
  <si>
    <t xml:space="preserve">C(J/k) -m(w)xc(w) </t>
  </si>
  <si>
    <t>J/k</t>
  </si>
  <si>
    <t>k(l) =</t>
  </si>
  <si>
    <t>(-c/t)*ln((T(t)-T(amb))/(T(0)-T(amb))</t>
  </si>
  <si>
    <t>Room Temperature</t>
  </si>
  <si>
    <t>Cement Temperature</t>
  </si>
  <si>
    <t>Time</t>
  </si>
  <si>
    <t xml:space="preserve">T(amb) </t>
  </si>
  <si>
    <t xml:space="preserve">T(sample) </t>
  </si>
  <si>
    <t>t( clock data)</t>
  </si>
  <si>
    <t>day 1- pm</t>
  </si>
  <si>
    <t xml:space="preserve">almost 4 hr data missing </t>
  </si>
  <si>
    <t>day-2, am</t>
  </si>
  <si>
    <t xml:space="preserve">almost 16 hr data missing </t>
  </si>
  <si>
    <t xml:space="preserve">day 3, am </t>
  </si>
  <si>
    <t xml:space="preserve">day 2, pm </t>
  </si>
  <si>
    <t xml:space="preserve">almost 9 hr data missing </t>
  </si>
  <si>
    <t xml:space="preserve">t, Universal time </t>
  </si>
  <si>
    <t>day 1- PM</t>
  </si>
  <si>
    <t>day-2, AM</t>
  </si>
  <si>
    <t xml:space="preserve">day 2, PM </t>
  </si>
  <si>
    <t xml:space="preserve">day 3, AM </t>
  </si>
  <si>
    <t xml:space="preserve">Universal Time </t>
  </si>
  <si>
    <t xml:space="preserve">wt of cement </t>
  </si>
  <si>
    <t xml:space="preserve">wt of water content </t>
  </si>
  <si>
    <t xml:space="preserve">blank bottle wt </t>
  </si>
  <si>
    <t xml:space="preserve">219 gm </t>
  </si>
  <si>
    <t>sample + bottle wt</t>
  </si>
  <si>
    <t>CEM 1, BM  42.5 N</t>
  </si>
  <si>
    <t xml:space="preserve">cement wt </t>
  </si>
  <si>
    <t>water wt</t>
  </si>
  <si>
    <t xml:space="preserve">w/c ratio </t>
  </si>
  <si>
    <t>Total setup wt</t>
  </si>
  <si>
    <t>blank bottle wt</t>
  </si>
  <si>
    <t>sample wt</t>
  </si>
  <si>
    <r>
      <t xml:space="preserve">gm </t>
    </r>
    <r>
      <rPr>
        <sz val="14"/>
        <color theme="1"/>
        <rFont val="Aptos Narrow"/>
        <family val="2"/>
      </rPr>
      <t>±</t>
    </r>
    <r>
      <rPr>
        <sz val="11"/>
        <color theme="1"/>
        <rFont val="Aptos Narrow"/>
        <family val="2"/>
      </rPr>
      <t xml:space="preserve"> 5 gm</t>
    </r>
  </si>
  <si>
    <t>CEM 1, AM  42.5 R</t>
  </si>
  <si>
    <t>w/c ratio</t>
  </si>
  <si>
    <t>Time(s)</t>
  </si>
  <si>
    <t>T(t) in Kelvin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</si>
</sst>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7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DengXian"/>
      <charset val="134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</font>
    <font>
      <sz val="14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2" fontId="0" fillId="0" borderId="0" xfId="0" applyNumberForma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 Cooling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Temperature Values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name>Cooling Curve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22400612423447069"/>
                  <c:y val="-4.575641586468358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T_t = T_amb + (T_initial - T_amb)e</a:t>
                    </a:r>
                    <a:r>
                      <a:rPr lang="en-US" baseline="30000"/>
                      <a:t>(-k/c)t</a:t>
                    </a:r>
                    <a:endParaRPr lang="en-US" baseline="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 '!$G$36:$G$56</c:f>
              <c:numCache>
                <c:formatCode>General</c:formatCode>
                <c:ptCount val="2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</c:numCache>
            </c:numRef>
          </c:xVal>
          <c:yVal>
            <c:numRef>
              <c:f>'Calibration '!$I$36:$I$56</c:f>
              <c:numCache>
                <c:formatCode>0.0</c:formatCode>
                <c:ptCount val="21"/>
                <c:pt idx="0">
                  <c:v>59.9</c:v>
                </c:pt>
                <c:pt idx="1">
                  <c:v>59.815018960544634</c:v>
                </c:pt>
                <c:pt idx="2">
                  <c:v>59.730234165031305</c:v>
                </c:pt>
                <c:pt idx="3">
                  <c:v>59.645645160280274</c:v>
                </c:pt>
                <c:pt idx="4">
                  <c:v>59.561251494158327</c:v>
                </c:pt>
                <c:pt idx="5">
                  <c:v>59.477052715576342</c:v>
                </c:pt>
                <c:pt idx="6">
                  <c:v>59.393048374486874</c:v>
                </c:pt>
                <c:pt idx="7">
                  <c:v>59.309238021881775</c:v>
                </c:pt>
                <c:pt idx="8">
                  <c:v>59.22562120978975</c:v>
                </c:pt>
                <c:pt idx="9">
                  <c:v>59.142197491274025</c:v>
                </c:pt>
                <c:pt idx="10">
                  <c:v>59.058966420429897</c:v>
                </c:pt>
                <c:pt idx="11">
                  <c:v>58.97592755238238</c:v>
                </c:pt>
                <c:pt idx="12">
                  <c:v>58.893080443283822</c:v>
                </c:pt>
                <c:pt idx="13">
                  <c:v>58.810424650311546</c:v>
                </c:pt>
                <c:pt idx="14">
                  <c:v>58.727959731665457</c:v>
                </c:pt>
                <c:pt idx="15">
                  <c:v>58.645685246565705</c:v>
                </c:pt>
                <c:pt idx="16">
                  <c:v>58.563600755250313</c:v>
                </c:pt>
                <c:pt idx="17">
                  <c:v>58.481705818972834</c:v>
                </c:pt>
                <c:pt idx="18">
                  <c:v>58.4</c:v>
                </c:pt>
                <c:pt idx="19">
                  <c:v>58.31848286160939</c:v>
                </c:pt>
                <c:pt idx="20">
                  <c:v>58.237153968087092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A9-4ED2-9BE9-7213EC39FD1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450169264"/>
        <c:axId val="450161104"/>
      </c:scatterChart>
      <c:valAx>
        <c:axId val="450169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, Seconds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61104"/>
        <c:crosses val="autoZero"/>
        <c:crossBetween val="midCat"/>
      </c:valAx>
      <c:valAx>
        <c:axId val="45016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Temperature, Celsius</a:t>
                </a:r>
              </a:p>
            </c:rich>
          </c:tx>
          <c:overlay val="0"/>
          <c:spPr>
            <a:noFill/>
            <a:ln cap="sq">
              <a:solidFill>
                <a:schemeClr val="accent1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69264"/>
        <c:crosses val="autoZero"/>
        <c:crossBetween val="midCat"/>
      </c:valAx>
      <c:spPr>
        <a:noFill/>
        <a:ln cap="flat">
          <a:solidFill>
            <a:schemeClr val="accent1"/>
          </a:solidFill>
          <a:round/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1062401574803149"/>
          <c:y val="0.22763815981335667"/>
          <c:w val="0.30387598425196849"/>
          <c:h val="0.15625109361329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190499</xdr:colOff>
      <xdr:row>12</xdr:row>
      <xdr:rowOff>137160</xdr:rowOff>
    </xdr:from>
    <xdr:to>
      <xdr:col>19</xdr:col>
      <xdr:colOff>182880</xdr:colOff>
      <xdr:row>24</xdr:row>
      <xdr:rowOff>61258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CC36B0-54C8-A633-EEB1-44E1D026B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499" y="2346960"/>
          <a:ext cx="5036821" cy="2133898"/>
        </a:xfrm>
        <a:prstGeom prst="rect">
          <a:avLst/>
        </a:prstGeom>
      </xdr:spPr>
    </xdr:pic>
    <xdr:clientData/>
  </xdr:twoCellAnchor>
  <xdr:twoCellAnchor>
    <xdr:from>
      <xdr:col>11</xdr:col>
      <xdr:colOff>426720</xdr:colOff>
      <xdr:row>32</xdr:row>
      <xdr:rowOff>102870</xdr:rowOff>
    </xdr:from>
    <xdr:to>
      <xdr:col>17</xdr:col>
      <xdr:colOff>563880</xdr:colOff>
      <xdr:row>47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058DF2-8EC2-CC61-6B81-B1749A7D8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3CA3-1DFB-438C-85F9-ABC945CA0207}">
  <dimension ref="A1:T56"/>
  <sheetViews>
    <sheetView tabSelected="1" topLeftCell="H30" zoomScale="150" workbookViewId="0">
      <selection activeCell="S35" sqref="S35"/>
    </sheetView>
  </sheetViews>
  <sheetFormatPr defaultRowHeight="14.4" x14ac:dyDescent="0.3"/>
  <cols>
    <col min="5" max="5" width="2.88671875" customWidth="1"/>
    <col min="6" max="6" width="3" customWidth="1"/>
    <col min="7" max="7" width="23.44140625" customWidth="1"/>
    <col min="8" max="8" width="7.88671875" style="3" customWidth="1"/>
    <col min="9" max="9" width="12.88671875" style="1" customWidth="1"/>
    <col min="15" max="15" width="20.21875" style="1" customWidth="1"/>
  </cols>
  <sheetData>
    <row r="1" spans="1:20" ht="14.4" customHeight="1" thickBot="1" x14ac:dyDescent="0.45">
      <c r="A1" s="2"/>
      <c r="B1" s="2"/>
      <c r="C1" s="2"/>
      <c r="D1" s="2"/>
      <c r="E1" s="2"/>
      <c r="F1" s="2"/>
    </row>
    <row r="2" spans="1:20" ht="14.4" customHeight="1" x14ac:dyDescent="0.4">
      <c r="A2" s="2"/>
      <c r="B2" s="2"/>
      <c r="C2" s="2"/>
      <c r="D2" s="2"/>
      <c r="E2" s="2"/>
      <c r="F2" s="2"/>
      <c r="H2" s="9" t="s">
        <v>0</v>
      </c>
      <c r="I2" s="10"/>
      <c r="J2" s="10"/>
      <c r="K2" s="10"/>
      <c r="L2" s="10"/>
      <c r="M2" s="11"/>
    </row>
    <row r="3" spans="1:20" ht="14.4" customHeight="1" thickBot="1" x14ac:dyDescent="0.35">
      <c r="H3" s="12"/>
      <c r="I3" s="13"/>
      <c r="J3" s="13"/>
      <c r="K3" s="13"/>
      <c r="L3" s="13"/>
      <c r="M3" s="14"/>
    </row>
    <row r="4" spans="1:20" ht="15" thickBot="1" x14ac:dyDescent="0.35"/>
    <row r="5" spans="1:20" ht="15" thickBot="1" x14ac:dyDescent="0.35">
      <c r="G5" s="15" t="s">
        <v>19</v>
      </c>
      <c r="H5" s="16"/>
      <c r="I5" s="17"/>
      <c r="L5" s="8" t="s">
        <v>27</v>
      </c>
      <c r="M5" s="8"/>
      <c r="N5" s="8"/>
      <c r="O5" s="6">
        <f>(H11*H19)/(H17-H16)</f>
        <v>3076.9230769230771</v>
      </c>
      <c r="P5" s="5" t="s">
        <v>36</v>
      </c>
      <c r="R5" t="s">
        <v>31</v>
      </c>
      <c r="S5">
        <f>H8-H7</f>
        <v>404</v>
      </c>
      <c r="T5" t="s">
        <v>2</v>
      </c>
    </row>
    <row r="6" spans="1:20" x14ac:dyDescent="0.3">
      <c r="G6" t="s">
        <v>3</v>
      </c>
      <c r="H6" s="3" t="s">
        <v>5</v>
      </c>
      <c r="I6" s="1" t="s">
        <v>4</v>
      </c>
      <c r="L6" s="18" t="s">
        <v>27</v>
      </c>
      <c r="M6" s="18"/>
      <c r="N6" s="18"/>
      <c r="O6" s="1" t="s">
        <v>30</v>
      </c>
      <c r="P6" t="s">
        <v>36</v>
      </c>
      <c r="R6" t="s">
        <v>32</v>
      </c>
      <c r="S6">
        <v>4.1840000000000002</v>
      </c>
      <c r="T6" t="s">
        <v>33</v>
      </c>
    </row>
    <row r="7" spans="1:20" x14ac:dyDescent="0.3">
      <c r="G7" t="s">
        <v>1</v>
      </c>
      <c r="H7" s="3">
        <v>196.1</v>
      </c>
      <c r="I7" s="1" t="s">
        <v>20</v>
      </c>
      <c r="L7" s="18" t="s">
        <v>27</v>
      </c>
      <c r="M7" s="18"/>
      <c r="N7" s="18"/>
      <c r="O7" s="1" t="s">
        <v>29</v>
      </c>
      <c r="P7" t="s">
        <v>36</v>
      </c>
    </row>
    <row r="8" spans="1:20" x14ac:dyDescent="0.3">
      <c r="G8" t="s">
        <v>6</v>
      </c>
      <c r="H8" s="3">
        <v>600.1</v>
      </c>
      <c r="I8" s="1" t="s">
        <v>20</v>
      </c>
      <c r="L8" s="8" t="s">
        <v>34</v>
      </c>
      <c r="M8" s="8"/>
      <c r="N8" s="8"/>
      <c r="O8" s="1" t="s">
        <v>35</v>
      </c>
      <c r="P8" t="s">
        <v>36</v>
      </c>
    </row>
    <row r="9" spans="1:20" x14ac:dyDescent="0.3">
      <c r="O9" s="6">
        <f>O5-S5*S6</f>
        <v>1386.5870769230771</v>
      </c>
      <c r="P9" s="5" t="s">
        <v>36</v>
      </c>
    </row>
    <row r="10" spans="1:20" x14ac:dyDescent="0.3">
      <c r="G10" t="s">
        <v>7</v>
      </c>
      <c r="H10" s="3" t="s">
        <v>9</v>
      </c>
    </row>
    <row r="11" spans="1:20" x14ac:dyDescent="0.3">
      <c r="G11" t="s">
        <v>8</v>
      </c>
      <c r="H11" s="3">
        <v>500</v>
      </c>
      <c r="I11" s="1" t="s">
        <v>10</v>
      </c>
    </row>
    <row r="12" spans="1:20" x14ac:dyDescent="0.3">
      <c r="G12" t="s">
        <v>11</v>
      </c>
      <c r="H12" s="3">
        <v>220</v>
      </c>
      <c r="I12" s="1" t="s">
        <v>12</v>
      </c>
    </row>
    <row r="13" spans="1:20" x14ac:dyDescent="0.3">
      <c r="G13" t="s">
        <v>13</v>
      </c>
      <c r="H13" s="3">
        <v>2.2730000000000001</v>
      </c>
      <c r="I13" s="1" t="s">
        <v>14</v>
      </c>
    </row>
    <row r="14" spans="1:20" x14ac:dyDescent="0.3">
      <c r="G14" t="s">
        <v>15</v>
      </c>
      <c r="H14" s="3">
        <v>96.8</v>
      </c>
      <c r="I14" s="1" t="s">
        <v>16</v>
      </c>
    </row>
    <row r="16" spans="1:20" x14ac:dyDescent="0.3">
      <c r="G16" t="s">
        <v>22</v>
      </c>
      <c r="H16" s="3">
        <v>19.7</v>
      </c>
      <c r="I16" s="4" t="s">
        <v>17</v>
      </c>
      <c r="J16">
        <f>H16+273.15</f>
        <v>292.84999999999997</v>
      </c>
      <c r="K16" t="s">
        <v>28</v>
      </c>
    </row>
    <row r="17" spans="7:18" x14ac:dyDescent="0.3">
      <c r="G17" t="s">
        <v>21</v>
      </c>
      <c r="H17" s="3">
        <v>60</v>
      </c>
      <c r="I17" s="4" t="s">
        <v>17</v>
      </c>
      <c r="J17">
        <f t="shared" ref="J17:J18" si="0">H17+273.15</f>
        <v>333.15</v>
      </c>
      <c r="K17" t="s">
        <v>28</v>
      </c>
    </row>
    <row r="18" spans="7:18" x14ac:dyDescent="0.3">
      <c r="G18" t="s">
        <v>18</v>
      </c>
      <c r="H18" s="3">
        <v>23.1</v>
      </c>
      <c r="I18" s="4" t="s">
        <v>17</v>
      </c>
      <c r="J18">
        <f t="shared" si="0"/>
        <v>296.25</v>
      </c>
      <c r="K18" t="s">
        <v>28</v>
      </c>
    </row>
    <row r="19" spans="7:18" x14ac:dyDescent="0.3">
      <c r="G19" t="s">
        <v>23</v>
      </c>
      <c r="H19" s="3">
        <f>4*60+8</f>
        <v>248</v>
      </c>
      <c r="I19" s="1" t="s">
        <v>24</v>
      </c>
    </row>
    <row r="20" spans="7:18" ht="15" thickBot="1" x14ac:dyDescent="0.35"/>
    <row r="21" spans="7:18" ht="15" thickBot="1" x14ac:dyDescent="0.35">
      <c r="G21" s="15" t="s">
        <v>19</v>
      </c>
      <c r="H21" s="16"/>
      <c r="I21" s="17"/>
    </row>
    <row r="22" spans="7:18" x14ac:dyDescent="0.3">
      <c r="G22" t="s">
        <v>3</v>
      </c>
      <c r="H22" s="3" t="s">
        <v>5</v>
      </c>
      <c r="I22" s="1" t="s">
        <v>4</v>
      </c>
    </row>
    <row r="23" spans="7:18" x14ac:dyDescent="0.3">
      <c r="G23" t="s">
        <v>3</v>
      </c>
      <c r="H23" s="3" t="s">
        <v>5</v>
      </c>
      <c r="I23" s="1" t="s">
        <v>4</v>
      </c>
    </row>
    <row r="24" spans="7:18" x14ac:dyDescent="0.3">
      <c r="G24" t="s">
        <v>1</v>
      </c>
      <c r="H24" s="3">
        <v>196.1</v>
      </c>
      <c r="I24" s="1" t="s">
        <v>20</v>
      </c>
    </row>
    <row r="25" spans="7:18" x14ac:dyDescent="0.3">
      <c r="G25" t="s">
        <v>6</v>
      </c>
      <c r="H25" s="3">
        <v>596</v>
      </c>
      <c r="I25" s="1" t="s">
        <v>20</v>
      </c>
    </row>
    <row r="27" spans="7:18" ht="16.2" customHeight="1" x14ac:dyDescent="0.3">
      <c r="G27" t="s">
        <v>26</v>
      </c>
      <c r="H27" s="3">
        <v>59.9</v>
      </c>
      <c r="I27" s="4" t="s">
        <v>17</v>
      </c>
      <c r="N27" s="5" t="s">
        <v>37</v>
      </c>
      <c r="O27" s="8" t="s">
        <v>38</v>
      </c>
      <c r="P27" s="8"/>
    </row>
    <row r="28" spans="7:18" x14ac:dyDescent="0.3">
      <c r="G28" t="s">
        <v>25</v>
      </c>
      <c r="H28" s="3">
        <v>58.4</v>
      </c>
      <c r="I28" s="4" t="s">
        <v>17</v>
      </c>
      <c r="N28" s="5" t="s">
        <v>37</v>
      </c>
      <c r="O28" s="6">
        <f>(-O5/H30)*LN((H28-H29)/(H27-H29))</f>
        <v>3.5568274560371094E-2</v>
      </c>
      <c r="P28" s="5"/>
      <c r="R28">
        <f>R29/O29*O28</f>
        <v>3.5500000000000004E-2</v>
      </c>
    </row>
    <row r="29" spans="7:18" x14ac:dyDescent="0.3">
      <c r="G29" t="s">
        <v>18</v>
      </c>
      <c r="H29" s="3">
        <v>23.1</v>
      </c>
      <c r="I29" s="4" t="s">
        <v>17</v>
      </c>
      <c r="O29" s="1">
        <f>O28*60</f>
        <v>2.1340964736222654</v>
      </c>
      <c r="R29">
        <v>2.13</v>
      </c>
    </row>
    <row r="30" spans="7:18" x14ac:dyDescent="0.3">
      <c r="G30" t="s">
        <v>23</v>
      </c>
      <c r="H30" s="3">
        <f>60*60</f>
        <v>3600</v>
      </c>
      <c r="I30" s="1" t="s">
        <v>24</v>
      </c>
    </row>
    <row r="35" spans="7:9" x14ac:dyDescent="0.3">
      <c r="G35" s="20" t="s">
        <v>73</v>
      </c>
      <c r="H35" s="20"/>
      <c r="I35" s="21" t="s">
        <v>74</v>
      </c>
    </row>
    <row r="36" spans="7:9" x14ac:dyDescent="0.3">
      <c r="G36">
        <v>0</v>
      </c>
      <c r="H36"/>
      <c r="I36" s="22">
        <f>$H$29 + ($H$27-$H$29)*EXP((-$O$28/$O$5)*G36)</f>
        <v>59.9</v>
      </c>
    </row>
    <row r="37" spans="7:9" x14ac:dyDescent="0.3">
      <c r="G37">
        <v>200</v>
      </c>
      <c r="H37"/>
      <c r="I37" s="22">
        <f>$H$29 + ($H$27-$H$29)*EXP((-$O$28/$O$5)*G37)</f>
        <v>59.815018960544634</v>
      </c>
    </row>
    <row r="38" spans="7:9" x14ac:dyDescent="0.3">
      <c r="G38">
        <v>400</v>
      </c>
      <c r="H38"/>
      <c r="I38" s="22">
        <f t="shared" ref="I38:I56" si="1">$H$29 + ($H$27-$H$29)*EXP((-$O$28/$O$5)*G38)</f>
        <v>59.730234165031305</v>
      </c>
    </row>
    <row r="39" spans="7:9" x14ac:dyDescent="0.3">
      <c r="G39">
        <v>600</v>
      </c>
      <c r="H39"/>
      <c r="I39" s="22">
        <f t="shared" si="1"/>
        <v>59.645645160280274</v>
      </c>
    </row>
    <row r="40" spans="7:9" x14ac:dyDescent="0.3">
      <c r="G40">
        <v>800</v>
      </c>
      <c r="H40"/>
      <c r="I40" s="22">
        <f t="shared" si="1"/>
        <v>59.561251494158327</v>
      </c>
    </row>
    <row r="41" spans="7:9" x14ac:dyDescent="0.3">
      <c r="G41">
        <v>1000</v>
      </c>
      <c r="H41"/>
      <c r="I41" s="22">
        <f t="shared" si="1"/>
        <v>59.477052715576342</v>
      </c>
    </row>
    <row r="42" spans="7:9" x14ac:dyDescent="0.3">
      <c r="G42">
        <v>1200</v>
      </c>
      <c r="H42"/>
      <c r="I42" s="22">
        <f t="shared" si="1"/>
        <v>59.393048374486874</v>
      </c>
    </row>
    <row r="43" spans="7:9" x14ac:dyDescent="0.3">
      <c r="G43">
        <v>1400</v>
      </c>
      <c r="H43"/>
      <c r="I43" s="22">
        <f t="shared" si="1"/>
        <v>59.309238021881775</v>
      </c>
    </row>
    <row r="44" spans="7:9" x14ac:dyDescent="0.3">
      <c r="G44">
        <v>1600</v>
      </c>
      <c r="H44"/>
      <c r="I44" s="22">
        <f t="shared" si="1"/>
        <v>59.22562120978975</v>
      </c>
    </row>
    <row r="45" spans="7:9" x14ac:dyDescent="0.3">
      <c r="G45">
        <v>1800</v>
      </c>
      <c r="H45"/>
      <c r="I45" s="22">
        <f t="shared" si="1"/>
        <v>59.142197491274025</v>
      </c>
    </row>
    <row r="46" spans="7:9" x14ac:dyDescent="0.3">
      <c r="G46">
        <v>2000</v>
      </c>
      <c r="H46"/>
      <c r="I46" s="22">
        <f t="shared" si="1"/>
        <v>59.058966420429897</v>
      </c>
    </row>
    <row r="47" spans="7:9" x14ac:dyDescent="0.3">
      <c r="G47">
        <v>2200</v>
      </c>
      <c r="H47"/>
      <c r="I47" s="22">
        <f t="shared" si="1"/>
        <v>58.97592755238238</v>
      </c>
    </row>
    <row r="48" spans="7:9" x14ac:dyDescent="0.3">
      <c r="G48">
        <v>2400</v>
      </c>
      <c r="H48"/>
      <c r="I48" s="22">
        <f t="shared" si="1"/>
        <v>58.893080443283822</v>
      </c>
    </row>
    <row r="49" spans="7:9" x14ac:dyDescent="0.3">
      <c r="G49">
        <v>2600</v>
      </c>
      <c r="H49"/>
      <c r="I49" s="22">
        <f t="shared" si="1"/>
        <v>58.810424650311546</v>
      </c>
    </row>
    <row r="50" spans="7:9" x14ac:dyDescent="0.3">
      <c r="G50">
        <v>2800</v>
      </c>
      <c r="H50"/>
      <c r="I50" s="22">
        <f t="shared" si="1"/>
        <v>58.727959731665457</v>
      </c>
    </row>
    <row r="51" spans="7:9" x14ac:dyDescent="0.3">
      <c r="G51">
        <v>3000</v>
      </c>
      <c r="H51"/>
      <c r="I51" s="22">
        <f t="shared" si="1"/>
        <v>58.645685246565705</v>
      </c>
    </row>
    <row r="52" spans="7:9" x14ac:dyDescent="0.3">
      <c r="G52">
        <v>3200</v>
      </c>
      <c r="H52"/>
      <c r="I52" s="22">
        <f t="shared" si="1"/>
        <v>58.563600755250313</v>
      </c>
    </row>
    <row r="53" spans="7:9" x14ac:dyDescent="0.3">
      <c r="G53">
        <v>3400</v>
      </c>
      <c r="H53"/>
      <c r="I53" s="22">
        <f t="shared" si="1"/>
        <v>58.481705818972834</v>
      </c>
    </row>
    <row r="54" spans="7:9" x14ac:dyDescent="0.3">
      <c r="G54">
        <v>3600</v>
      </c>
      <c r="H54"/>
      <c r="I54" s="22">
        <f t="shared" si="1"/>
        <v>58.4</v>
      </c>
    </row>
    <row r="55" spans="7:9" x14ac:dyDescent="0.3">
      <c r="G55">
        <v>3800</v>
      </c>
      <c r="H55"/>
      <c r="I55" s="22">
        <f t="shared" si="1"/>
        <v>58.31848286160939</v>
      </c>
    </row>
    <row r="56" spans="7:9" x14ac:dyDescent="0.3">
      <c r="G56">
        <v>4000</v>
      </c>
      <c r="H56"/>
      <c r="I56" s="22">
        <f t="shared" si="1"/>
        <v>58.237153968087092</v>
      </c>
    </row>
  </sheetData>
  <mergeCells count="9">
    <mergeCell ref="G35:H35"/>
    <mergeCell ref="O27:P27"/>
    <mergeCell ref="H2:M3"/>
    <mergeCell ref="G5:I5"/>
    <mergeCell ref="G21:I21"/>
    <mergeCell ref="L5:N5"/>
    <mergeCell ref="L6:N6"/>
    <mergeCell ref="L7:N7"/>
    <mergeCell ref="L8:N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6DB7-748A-492B-9261-14C9207358A5}">
  <dimension ref="G2:R69"/>
  <sheetViews>
    <sheetView workbookViewId="0">
      <selection activeCell="R18" sqref="R18"/>
    </sheetView>
  </sheetViews>
  <sheetFormatPr defaultRowHeight="14.4" x14ac:dyDescent="0.3"/>
  <cols>
    <col min="7" max="7" width="17.109375" customWidth="1"/>
    <col min="8" max="8" width="19.44140625" customWidth="1"/>
    <col min="9" max="9" width="13.109375" customWidth="1"/>
    <col min="16" max="16" width="21.109375" customWidth="1"/>
    <col min="17" max="17" width="10.5546875" bestFit="1" customWidth="1"/>
  </cols>
  <sheetData>
    <row r="2" spans="7:18" x14ac:dyDescent="0.3">
      <c r="G2" s="5" t="s">
        <v>39</v>
      </c>
      <c r="H2" s="5" t="s">
        <v>40</v>
      </c>
      <c r="I2" s="5" t="s">
        <v>41</v>
      </c>
    </row>
    <row r="3" spans="7:18" x14ac:dyDescent="0.3">
      <c r="G3">
        <v>22.9</v>
      </c>
      <c r="H3">
        <v>18.399999999999999</v>
      </c>
      <c r="I3">
        <v>10.54</v>
      </c>
    </row>
    <row r="4" spans="7:18" x14ac:dyDescent="0.3">
      <c r="G4">
        <v>22.9</v>
      </c>
      <c r="H4">
        <v>18.5</v>
      </c>
      <c r="I4">
        <v>10.56</v>
      </c>
    </row>
    <row r="5" spans="7:18" x14ac:dyDescent="0.3">
      <c r="G5">
        <v>22.9</v>
      </c>
      <c r="H5">
        <v>18.600000000000001</v>
      </c>
      <c r="I5">
        <v>11</v>
      </c>
      <c r="P5" t="s">
        <v>63</v>
      </c>
    </row>
    <row r="6" spans="7:18" x14ac:dyDescent="0.3">
      <c r="G6">
        <v>22.9</v>
      </c>
      <c r="H6">
        <v>18.7</v>
      </c>
      <c r="I6">
        <v>11.02</v>
      </c>
    </row>
    <row r="7" spans="7:18" x14ac:dyDescent="0.3">
      <c r="G7">
        <v>22.9</v>
      </c>
      <c r="H7">
        <v>18.8</v>
      </c>
      <c r="I7">
        <v>11.09</v>
      </c>
    </row>
    <row r="8" spans="7:18" x14ac:dyDescent="0.3">
      <c r="G8">
        <v>22.9</v>
      </c>
      <c r="H8">
        <v>18.899999999999999</v>
      </c>
      <c r="I8">
        <v>11.12</v>
      </c>
      <c r="P8" t="s">
        <v>64</v>
      </c>
      <c r="Q8">
        <f>Q17-Q9</f>
        <v>150.90000000000003</v>
      </c>
      <c r="R8" t="s">
        <v>20</v>
      </c>
    </row>
    <row r="9" spans="7:18" x14ac:dyDescent="0.3">
      <c r="G9">
        <v>22.7</v>
      </c>
      <c r="H9">
        <v>19</v>
      </c>
      <c r="I9">
        <v>11.23</v>
      </c>
      <c r="P9" t="s">
        <v>65</v>
      </c>
      <c r="Q9">
        <v>138.80000000000001</v>
      </c>
      <c r="R9" t="s">
        <v>20</v>
      </c>
    </row>
    <row r="10" spans="7:18" x14ac:dyDescent="0.3">
      <c r="G10">
        <v>22.7</v>
      </c>
      <c r="H10">
        <v>19.100000000000001</v>
      </c>
      <c r="I10">
        <v>11.27</v>
      </c>
    </row>
    <row r="11" spans="7:18" x14ac:dyDescent="0.3">
      <c r="G11">
        <v>22.8</v>
      </c>
      <c r="H11">
        <v>19.2</v>
      </c>
      <c r="I11">
        <v>12.07</v>
      </c>
    </row>
    <row r="12" spans="7:18" x14ac:dyDescent="0.3">
      <c r="G12">
        <v>22.8</v>
      </c>
      <c r="H12">
        <v>19.3</v>
      </c>
      <c r="I12">
        <v>12.32</v>
      </c>
      <c r="P12" t="s">
        <v>66</v>
      </c>
      <c r="Q12" s="7">
        <f>Q9/Q8</f>
        <v>0.91981444665341272</v>
      </c>
    </row>
    <row r="13" spans="7:18" x14ac:dyDescent="0.3">
      <c r="G13">
        <v>22.8</v>
      </c>
      <c r="H13">
        <v>19.399999999999999</v>
      </c>
      <c r="I13">
        <v>12.55</v>
      </c>
    </row>
    <row r="14" spans="7:18" x14ac:dyDescent="0.3">
      <c r="H14">
        <v>19.5</v>
      </c>
      <c r="P14" t="s">
        <v>67</v>
      </c>
      <c r="Q14">
        <v>512.20000000000005</v>
      </c>
      <c r="R14" t="s">
        <v>20</v>
      </c>
    </row>
    <row r="15" spans="7:18" ht="18" x14ac:dyDescent="0.35">
      <c r="H15">
        <v>19.600000000000001</v>
      </c>
      <c r="P15" t="s">
        <v>68</v>
      </c>
      <c r="Q15">
        <v>222.5</v>
      </c>
      <c r="R15" t="s">
        <v>70</v>
      </c>
    </row>
    <row r="16" spans="7:18" x14ac:dyDescent="0.3">
      <c r="H16">
        <v>19.7</v>
      </c>
    </row>
    <row r="17" spans="8:18" x14ac:dyDescent="0.3">
      <c r="H17">
        <v>19.8</v>
      </c>
      <c r="P17" t="s">
        <v>69</v>
      </c>
      <c r="Q17">
        <f>Q14-Q15</f>
        <v>289.70000000000005</v>
      </c>
      <c r="R17" t="s">
        <v>20</v>
      </c>
    </row>
    <row r="18" spans="8:18" x14ac:dyDescent="0.3">
      <c r="H18">
        <v>19.899999999999999</v>
      </c>
    </row>
    <row r="19" spans="8:18" x14ac:dyDescent="0.3">
      <c r="H19">
        <v>20</v>
      </c>
    </row>
    <row r="20" spans="8:18" x14ac:dyDescent="0.3">
      <c r="H20">
        <v>20.100000000000001</v>
      </c>
    </row>
    <row r="21" spans="8:18" x14ac:dyDescent="0.3">
      <c r="H21">
        <v>20.2</v>
      </c>
    </row>
    <row r="22" spans="8:18" x14ac:dyDescent="0.3">
      <c r="H22">
        <v>20.3</v>
      </c>
    </row>
    <row r="23" spans="8:18" x14ac:dyDescent="0.3">
      <c r="H23">
        <v>20.399999999999999</v>
      </c>
    </row>
    <row r="24" spans="8:18" x14ac:dyDescent="0.3">
      <c r="H24">
        <v>20.5</v>
      </c>
    </row>
    <row r="25" spans="8:18" x14ac:dyDescent="0.3">
      <c r="H25">
        <v>20.6</v>
      </c>
    </row>
    <row r="26" spans="8:18" x14ac:dyDescent="0.3">
      <c r="H26">
        <v>20.7</v>
      </c>
    </row>
    <row r="27" spans="8:18" x14ac:dyDescent="0.3">
      <c r="H27">
        <v>20.8</v>
      </c>
    </row>
    <row r="28" spans="8:18" x14ac:dyDescent="0.3">
      <c r="H28">
        <v>20.9</v>
      </c>
    </row>
    <row r="29" spans="8:18" x14ac:dyDescent="0.3">
      <c r="H29">
        <v>21</v>
      </c>
    </row>
    <row r="30" spans="8:18" x14ac:dyDescent="0.3">
      <c r="H30">
        <v>21.1</v>
      </c>
    </row>
    <row r="31" spans="8:18" x14ac:dyDescent="0.3">
      <c r="H31">
        <v>21.2</v>
      </c>
    </row>
    <row r="32" spans="8:18" x14ac:dyDescent="0.3">
      <c r="H32">
        <v>21.3</v>
      </c>
    </row>
    <row r="33" spans="7:9" x14ac:dyDescent="0.3">
      <c r="H33">
        <v>21.4</v>
      </c>
    </row>
    <row r="34" spans="7:9" x14ac:dyDescent="0.3">
      <c r="H34">
        <v>21.5</v>
      </c>
    </row>
    <row r="35" spans="7:9" x14ac:dyDescent="0.3">
      <c r="H35">
        <v>21.6</v>
      </c>
    </row>
    <row r="36" spans="7:9" x14ac:dyDescent="0.3">
      <c r="H36">
        <v>21.7</v>
      </c>
    </row>
    <row r="37" spans="7:9" x14ac:dyDescent="0.3">
      <c r="H37">
        <v>21.8</v>
      </c>
    </row>
    <row r="38" spans="7:9" x14ac:dyDescent="0.3">
      <c r="H38">
        <v>21.9</v>
      </c>
    </row>
    <row r="39" spans="7:9" x14ac:dyDescent="0.3">
      <c r="H39">
        <v>22</v>
      </c>
    </row>
    <row r="40" spans="7:9" x14ac:dyDescent="0.3">
      <c r="H40">
        <v>22.1</v>
      </c>
    </row>
    <row r="41" spans="7:9" x14ac:dyDescent="0.3">
      <c r="H41">
        <v>22.2</v>
      </c>
    </row>
    <row r="42" spans="7:9" x14ac:dyDescent="0.3">
      <c r="G42">
        <v>23.1</v>
      </c>
      <c r="H42">
        <v>22.3</v>
      </c>
      <c r="I42">
        <v>16.16</v>
      </c>
    </row>
    <row r="43" spans="7:9" x14ac:dyDescent="0.3">
      <c r="G43">
        <v>23.1</v>
      </c>
      <c r="H43">
        <v>22.4</v>
      </c>
      <c r="I43">
        <v>16.2</v>
      </c>
    </row>
    <row r="44" spans="7:9" x14ac:dyDescent="0.3">
      <c r="G44">
        <v>23.1</v>
      </c>
      <c r="H44">
        <v>22.5</v>
      </c>
      <c r="I44">
        <v>16.22</v>
      </c>
    </row>
    <row r="45" spans="7:9" x14ac:dyDescent="0.3">
      <c r="G45">
        <v>23.1</v>
      </c>
      <c r="H45">
        <v>22.6</v>
      </c>
      <c r="I45">
        <v>16.23</v>
      </c>
    </row>
    <row r="46" spans="7:9" x14ac:dyDescent="0.3">
      <c r="G46">
        <v>23.1</v>
      </c>
      <c r="H46">
        <v>22.7</v>
      </c>
      <c r="I46">
        <v>16.3</v>
      </c>
    </row>
    <row r="47" spans="7:9" x14ac:dyDescent="0.3">
      <c r="G47">
        <v>23.1</v>
      </c>
      <c r="H47">
        <v>22.8</v>
      </c>
      <c r="I47">
        <v>16.32</v>
      </c>
    </row>
    <row r="48" spans="7:9" x14ac:dyDescent="0.3">
      <c r="G48">
        <v>23.2</v>
      </c>
      <c r="H48">
        <v>22.9</v>
      </c>
      <c r="I48">
        <v>16.34</v>
      </c>
    </row>
    <row r="49" spans="7:9" x14ac:dyDescent="0.3">
      <c r="G49">
        <v>23.2</v>
      </c>
      <c r="H49">
        <v>23</v>
      </c>
      <c r="I49">
        <v>16.39</v>
      </c>
    </row>
    <row r="50" spans="7:9" x14ac:dyDescent="0.3">
      <c r="G50">
        <v>23.2</v>
      </c>
      <c r="H50">
        <v>23.1</v>
      </c>
      <c r="I50">
        <v>16.420000000000002</v>
      </c>
    </row>
    <row r="51" spans="7:9" x14ac:dyDescent="0.3">
      <c r="G51">
        <v>23.2</v>
      </c>
      <c r="H51">
        <v>23.2</v>
      </c>
      <c r="I51">
        <v>16.440000000000001</v>
      </c>
    </row>
    <row r="52" spans="7:9" x14ac:dyDescent="0.3">
      <c r="G52">
        <v>23.2</v>
      </c>
      <c r="H52">
        <v>23.3</v>
      </c>
      <c r="I52">
        <v>16.47</v>
      </c>
    </row>
    <row r="53" spans="7:9" x14ac:dyDescent="0.3">
      <c r="G53">
        <v>23.3</v>
      </c>
      <c r="H53">
        <v>23.4</v>
      </c>
      <c r="I53">
        <v>16.52</v>
      </c>
    </row>
    <row r="54" spans="7:9" x14ac:dyDescent="0.3">
      <c r="G54">
        <v>23.3</v>
      </c>
      <c r="H54">
        <v>23.5</v>
      </c>
      <c r="I54">
        <v>16.54</v>
      </c>
    </row>
    <row r="55" spans="7:9" x14ac:dyDescent="0.3">
      <c r="G55">
        <v>23.4</v>
      </c>
      <c r="H55">
        <v>23.6</v>
      </c>
      <c r="I55">
        <v>16.57</v>
      </c>
    </row>
    <row r="56" spans="7:9" x14ac:dyDescent="0.3">
      <c r="G56">
        <v>23.4</v>
      </c>
      <c r="H56">
        <v>23.7</v>
      </c>
      <c r="I56">
        <v>16.59</v>
      </c>
    </row>
    <row r="57" spans="7:9" x14ac:dyDescent="0.3">
      <c r="G57">
        <v>23.3</v>
      </c>
      <c r="H57">
        <v>23.8</v>
      </c>
      <c r="I57">
        <v>17.02</v>
      </c>
    </row>
    <row r="58" spans="7:9" x14ac:dyDescent="0.3">
      <c r="G58">
        <v>23.3</v>
      </c>
      <c r="H58">
        <v>23.9</v>
      </c>
      <c r="I58">
        <v>17.04</v>
      </c>
    </row>
    <row r="59" spans="7:9" x14ac:dyDescent="0.3">
      <c r="G59">
        <v>23.2</v>
      </c>
      <c r="H59">
        <v>24</v>
      </c>
      <c r="I59">
        <v>17.07</v>
      </c>
    </row>
    <row r="60" spans="7:9" x14ac:dyDescent="0.3">
      <c r="G60">
        <v>23.2</v>
      </c>
      <c r="H60">
        <v>24.1</v>
      </c>
      <c r="I60">
        <v>17.11</v>
      </c>
    </row>
    <row r="61" spans="7:9" x14ac:dyDescent="0.3">
      <c r="G61">
        <v>23.2</v>
      </c>
      <c r="H61">
        <v>24.2</v>
      </c>
      <c r="I61">
        <v>17.13</v>
      </c>
    </row>
    <row r="62" spans="7:9" x14ac:dyDescent="0.3">
      <c r="G62">
        <v>23.2</v>
      </c>
      <c r="H62">
        <v>24.3</v>
      </c>
      <c r="I62">
        <v>17.16</v>
      </c>
    </row>
    <row r="63" spans="7:9" x14ac:dyDescent="0.3">
      <c r="G63">
        <v>23.2</v>
      </c>
      <c r="H63">
        <v>24.4</v>
      </c>
      <c r="I63">
        <v>17.190000000000001</v>
      </c>
    </row>
    <row r="64" spans="7:9" x14ac:dyDescent="0.3">
      <c r="G64">
        <v>23.2</v>
      </c>
      <c r="H64">
        <v>24.5</v>
      </c>
      <c r="I64">
        <v>17.21</v>
      </c>
    </row>
    <row r="65" spans="7:9" x14ac:dyDescent="0.3">
      <c r="G65">
        <v>23.2</v>
      </c>
      <c r="H65">
        <v>24.6</v>
      </c>
      <c r="I65">
        <v>17.23</v>
      </c>
    </row>
    <row r="66" spans="7:9" x14ac:dyDescent="0.3">
      <c r="G66">
        <v>23.2</v>
      </c>
      <c r="H66">
        <v>24.7</v>
      </c>
      <c r="I66">
        <v>17.25</v>
      </c>
    </row>
    <row r="67" spans="7:9" x14ac:dyDescent="0.3">
      <c r="G67">
        <v>23.2</v>
      </c>
      <c r="H67">
        <v>24.8</v>
      </c>
      <c r="I67">
        <v>17.27</v>
      </c>
    </row>
    <row r="68" spans="7:9" x14ac:dyDescent="0.3">
      <c r="G68">
        <v>23.2</v>
      </c>
      <c r="H68">
        <v>24.9</v>
      </c>
      <c r="I68">
        <v>17.29</v>
      </c>
    </row>
    <row r="69" spans="7:9" x14ac:dyDescent="0.3">
      <c r="G69">
        <v>23.2</v>
      </c>
      <c r="H69">
        <v>25</v>
      </c>
      <c r="I69">
        <v>17.309999999999999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129C-A34B-43C7-943B-50A548391F97}">
  <dimension ref="F2:Q94"/>
  <sheetViews>
    <sheetView workbookViewId="0">
      <selection activeCell="P17" sqref="P17"/>
    </sheetView>
  </sheetViews>
  <sheetFormatPr defaultRowHeight="14.4" x14ac:dyDescent="0.3"/>
  <cols>
    <col min="6" max="6" width="16.88671875" customWidth="1"/>
    <col min="7" max="7" width="19.44140625" customWidth="1"/>
    <col min="8" max="8" width="11.33203125" customWidth="1"/>
    <col min="10" max="10" width="13.44140625" style="1" customWidth="1"/>
    <col min="15" max="15" width="17.33203125" customWidth="1"/>
    <col min="16" max="16" width="12" customWidth="1"/>
  </cols>
  <sheetData>
    <row r="2" spans="6:17" x14ac:dyDescent="0.3">
      <c r="F2" s="5" t="s">
        <v>39</v>
      </c>
      <c r="G2" s="5" t="s">
        <v>40</v>
      </c>
      <c r="H2" s="5" t="s">
        <v>41</v>
      </c>
      <c r="J2" s="6" t="s">
        <v>57</v>
      </c>
    </row>
    <row r="3" spans="6:17" x14ac:dyDescent="0.3">
      <c r="F3" t="s">
        <v>42</v>
      </c>
      <c r="G3" t="s">
        <v>43</v>
      </c>
      <c r="H3" t="s">
        <v>44</v>
      </c>
      <c r="J3" s="1" t="s">
        <v>52</v>
      </c>
    </row>
    <row r="4" spans="6:17" x14ac:dyDescent="0.3">
      <c r="J4" s="1">
        <v>12.03</v>
      </c>
    </row>
    <row r="5" spans="6:17" x14ac:dyDescent="0.3">
      <c r="F5">
        <v>22.9</v>
      </c>
      <c r="G5">
        <v>24.2</v>
      </c>
      <c r="H5">
        <v>12.03</v>
      </c>
      <c r="I5" t="s">
        <v>45</v>
      </c>
      <c r="J5" s="1">
        <v>12.03</v>
      </c>
      <c r="K5" t="s">
        <v>53</v>
      </c>
    </row>
    <row r="6" spans="6:17" x14ac:dyDescent="0.3">
      <c r="F6">
        <v>22.8</v>
      </c>
      <c r="G6">
        <v>24.3</v>
      </c>
      <c r="H6">
        <v>12.1</v>
      </c>
      <c r="J6" s="1">
        <v>12.1</v>
      </c>
      <c r="K6" t="s">
        <v>53</v>
      </c>
    </row>
    <row r="7" spans="6:17" x14ac:dyDescent="0.3">
      <c r="F7">
        <v>22.8</v>
      </c>
      <c r="G7">
        <v>24.4</v>
      </c>
      <c r="H7">
        <v>12.17</v>
      </c>
      <c r="J7" s="1">
        <v>12.17</v>
      </c>
      <c r="K7" t="s">
        <v>53</v>
      </c>
    </row>
    <row r="8" spans="6:17" x14ac:dyDescent="0.3">
      <c r="F8">
        <v>22.8</v>
      </c>
      <c r="G8">
        <v>24.5</v>
      </c>
      <c r="H8">
        <v>12.26</v>
      </c>
      <c r="J8" s="1">
        <v>12.26</v>
      </c>
      <c r="K8" t="s">
        <v>53</v>
      </c>
      <c r="O8" t="s">
        <v>71</v>
      </c>
    </row>
    <row r="9" spans="6:17" x14ac:dyDescent="0.3">
      <c r="F9">
        <v>22.8</v>
      </c>
      <c r="G9">
        <v>24.6</v>
      </c>
      <c r="H9">
        <v>12.43</v>
      </c>
      <c r="J9" s="1">
        <v>12.43</v>
      </c>
      <c r="K9" t="s">
        <v>53</v>
      </c>
    </row>
    <row r="10" spans="6:17" x14ac:dyDescent="0.3">
      <c r="F10">
        <v>22.8</v>
      </c>
      <c r="G10">
        <v>24.6</v>
      </c>
      <c r="H10">
        <v>1</v>
      </c>
      <c r="J10" s="1">
        <f>H10+12</f>
        <v>13</v>
      </c>
      <c r="K10" t="s">
        <v>53</v>
      </c>
    </row>
    <row r="11" spans="6:17" x14ac:dyDescent="0.3">
      <c r="F11">
        <v>22.8</v>
      </c>
      <c r="G11">
        <v>24.6</v>
      </c>
      <c r="H11">
        <v>1.1000000000000001</v>
      </c>
      <c r="J11" s="1">
        <f t="shared" ref="J11:J46" si="0">H11+12</f>
        <v>13.1</v>
      </c>
      <c r="K11" t="s">
        <v>53</v>
      </c>
      <c r="O11" t="s">
        <v>58</v>
      </c>
      <c r="P11">
        <v>250.5</v>
      </c>
      <c r="Q11" t="s">
        <v>20</v>
      </c>
    </row>
    <row r="12" spans="6:17" x14ac:dyDescent="0.3">
      <c r="F12">
        <v>26.6</v>
      </c>
      <c r="G12">
        <v>24.7</v>
      </c>
      <c r="H12">
        <v>1.31</v>
      </c>
      <c r="J12" s="1">
        <f t="shared" si="0"/>
        <v>13.31</v>
      </c>
      <c r="K12" t="s">
        <v>53</v>
      </c>
      <c r="O12" t="s">
        <v>59</v>
      </c>
      <c r="P12">
        <v>101.6</v>
      </c>
      <c r="Q12" t="s">
        <v>20</v>
      </c>
    </row>
    <row r="13" spans="6:17" x14ac:dyDescent="0.3">
      <c r="F13">
        <v>26.2</v>
      </c>
      <c r="G13">
        <v>25.1</v>
      </c>
      <c r="H13">
        <v>2.02</v>
      </c>
      <c r="J13" s="1">
        <f t="shared" si="0"/>
        <v>14.02</v>
      </c>
      <c r="K13" t="s">
        <v>53</v>
      </c>
    </row>
    <row r="14" spans="6:17" x14ac:dyDescent="0.3">
      <c r="F14">
        <v>26.3</v>
      </c>
      <c r="G14">
        <v>25.5</v>
      </c>
      <c r="H14">
        <v>2.2200000000000002</v>
      </c>
      <c r="J14" s="1">
        <f t="shared" si="0"/>
        <v>14.22</v>
      </c>
      <c r="K14" t="s">
        <v>53</v>
      </c>
      <c r="O14" t="s">
        <v>72</v>
      </c>
      <c r="P14" s="7">
        <f>P12/P11</f>
        <v>0.40558882235528942</v>
      </c>
    </row>
    <row r="15" spans="6:17" x14ac:dyDescent="0.3">
      <c r="F15">
        <v>26.4</v>
      </c>
      <c r="G15">
        <v>25.7</v>
      </c>
      <c r="H15">
        <v>2.35</v>
      </c>
      <c r="J15" s="1">
        <f t="shared" si="0"/>
        <v>14.35</v>
      </c>
      <c r="K15" t="s">
        <v>53</v>
      </c>
    </row>
    <row r="16" spans="6:17" x14ac:dyDescent="0.3">
      <c r="F16">
        <v>26.4</v>
      </c>
      <c r="G16">
        <v>26</v>
      </c>
      <c r="H16">
        <v>2.46</v>
      </c>
      <c r="J16" s="1">
        <f t="shared" si="0"/>
        <v>14.46</v>
      </c>
      <c r="K16" t="s">
        <v>53</v>
      </c>
    </row>
    <row r="17" spans="6:16" x14ac:dyDescent="0.3">
      <c r="F17">
        <v>26.4</v>
      </c>
      <c r="G17">
        <v>26.1</v>
      </c>
      <c r="H17">
        <v>2.4900000000000002</v>
      </c>
      <c r="J17" s="1">
        <f t="shared" si="0"/>
        <v>14.49</v>
      </c>
      <c r="K17" t="s">
        <v>53</v>
      </c>
    </row>
    <row r="18" spans="6:16" x14ac:dyDescent="0.3">
      <c r="F18">
        <v>26.5</v>
      </c>
      <c r="G18">
        <v>27.3</v>
      </c>
      <c r="H18">
        <v>3.2</v>
      </c>
      <c r="J18" s="1">
        <f t="shared" si="0"/>
        <v>15.2</v>
      </c>
      <c r="K18" t="s">
        <v>53</v>
      </c>
    </row>
    <row r="19" spans="6:16" x14ac:dyDescent="0.3">
      <c r="F19">
        <v>26.6</v>
      </c>
      <c r="G19">
        <v>27.4</v>
      </c>
      <c r="H19">
        <v>3.37</v>
      </c>
      <c r="J19" s="1">
        <f t="shared" si="0"/>
        <v>15.370000000000001</v>
      </c>
      <c r="K19" t="s">
        <v>53</v>
      </c>
      <c r="O19" t="s">
        <v>60</v>
      </c>
      <c r="P19" t="s">
        <v>61</v>
      </c>
    </row>
    <row r="20" spans="6:16" x14ac:dyDescent="0.3">
      <c r="F20">
        <v>26.5</v>
      </c>
      <c r="G20">
        <v>27.8</v>
      </c>
      <c r="H20">
        <v>3.47</v>
      </c>
      <c r="J20" s="1">
        <f t="shared" si="0"/>
        <v>15.47</v>
      </c>
      <c r="K20" t="s">
        <v>53</v>
      </c>
      <c r="O20" t="s">
        <v>62</v>
      </c>
    </row>
    <row r="21" spans="6:16" x14ac:dyDescent="0.3">
      <c r="F21">
        <v>26.5</v>
      </c>
      <c r="G21">
        <v>28</v>
      </c>
      <c r="H21">
        <v>3.51</v>
      </c>
      <c r="J21" s="1">
        <f t="shared" si="0"/>
        <v>15.51</v>
      </c>
      <c r="K21" t="s">
        <v>53</v>
      </c>
    </row>
    <row r="22" spans="6:16" x14ac:dyDescent="0.3">
      <c r="F22">
        <v>26.6</v>
      </c>
      <c r="G22">
        <v>29.1</v>
      </c>
      <c r="H22">
        <v>4.1900000000000004</v>
      </c>
      <c r="J22" s="1">
        <f t="shared" si="0"/>
        <v>16.190000000000001</v>
      </c>
      <c r="K22" t="s">
        <v>53</v>
      </c>
    </row>
    <row r="23" spans="6:16" x14ac:dyDescent="0.3">
      <c r="F23">
        <v>26.5</v>
      </c>
      <c r="G23">
        <v>30.7</v>
      </c>
      <c r="H23">
        <v>4.49</v>
      </c>
      <c r="J23" s="1">
        <f t="shared" si="0"/>
        <v>16.490000000000002</v>
      </c>
      <c r="K23" t="s">
        <v>53</v>
      </c>
    </row>
    <row r="24" spans="6:16" x14ac:dyDescent="0.3">
      <c r="F24">
        <v>26.6</v>
      </c>
      <c r="G24">
        <v>31.4</v>
      </c>
      <c r="H24">
        <v>5.01</v>
      </c>
      <c r="J24" s="1">
        <f>H24+12</f>
        <v>17.009999999999998</v>
      </c>
      <c r="K24" t="s">
        <v>53</v>
      </c>
    </row>
    <row r="25" spans="6:16" x14ac:dyDescent="0.3">
      <c r="F25">
        <v>26.7</v>
      </c>
      <c r="G25">
        <v>33.200000000000003</v>
      </c>
      <c r="H25">
        <v>5.31</v>
      </c>
      <c r="J25" s="1">
        <f t="shared" si="0"/>
        <v>17.309999999999999</v>
      </c>
      <c r="K25" t="s">
        <v>53</v>
      </c>
    </row>
    <row r="26" spans="6:16" x14ac:dyDescent="0.3">
      <c r="F26">
        <v>26.6</v>
      </c>
      <c r="G26">
        <v>34.200000000000003</v>
      </c>
      <c r="H26">
        <v>5.45</v>
      </c>
      <c r="J26" s="1">
        <f t="shared" si="0"/>
        <v>17.45</v>
      </c>
      <c r="K26" t="s">
        <v>53</v>
      </c>
    </row>
    <row r="27" spans="6:16" x14ac:dyDescent="0.3">
      <c r="F27">
        <v>26.6</v>
      </c>
      <c r="G27">
        <v>34.299999999999997</v>
      </c>
      <c r="H27">
        <v>5.47</v>
      </c>
      <c r="J27" s="1">
        <f t="shared" si="0"/>
        <v>17.47</v>
      </c>
      <c r="K27" t="s">
        <v>53</v>
      </c>
    </row>
    <row r="28" spans="6:16" x14ac:dyDescent="0.3">
      <c r="F28">
        <v>26.6</v>
      </c>
      <c r="G28">
        <v>38.700000000000003</v>
      </c>
      <c r="H28">
        <v>5.53</v>
      </c>
      <c r="J28" s="1">
        <f t="shared" si="0"/>
        <v>17.53</v>
      </c>
      <c r="K28" t="s">
        <v>53</v>
      </c>
    </row>
    <row r="29" spans="6:16" x14ac:dyDescent="0.3">
      <c r="F29">
        <v>26.6</v>
      </c>
      <c r="G29">
        <v>39.5</v>
      </c>
      <c r="H29">
        <v>6.52</v>
      </c>
      <c r="J29" s="1">
        <f>H29+12</f>
        <v>18.52</v>
      </c>
      <c r="K29" t="s">
        <v>53</v>
      </c>
    </row>
    <row r="30" spans="6:16" x14ac:dyDescent="0.3">
      <c r="F30">
        <v>26.4</v>
      </c>
      <c r="G30">
        <v>40.299999999999997</v>
      </c>
      <c r="H30">
        <v>7.01</v>
      </c>
      <c r="J30" s="1">
        <f t="shared" si="0"/>
        <v>19.009999999999998</v>
      </c>
      <c r="K30" t="s">
        <v>53</v>
      </c>
    </row>
    <row r="31" spans="6:16" x14ac:dyDescent="0.3">
      <c r="F31">
        <v>26.4</v>
      </c>
      <c r="G31">
        <v>40.799999999999997</v>
      </c>
      <c r="H31">
        <v>7.06</v>
      </c>
      <c r="J31" s="1">
        <f t="shared" si="0"/>
        <v>19.059999999999999</v>
      </c>
      <c r="K31" t="s">
        <v>53</v>
      </c>
    </row>
    <row r="32" spans="6:16" x14ac:dyDescent="0.3">
      <c r="F32">
        <v>26.4</v>
      </c>
      <c r="G32">
        <v>41</v>
      </c>
      <c r="H32">
        <v>7.09</v>
      </c>
      <c r="J32" s="1">
        <f t="shared" si="0"/>
        <v>19.09</v>
      </c>
      <c r="K32" t="s">
        <v>53</v>
      </c>
    </row>
    <row r="33" spans="6:11" x14ac:dyDescent="0.3">
      <c r="F33">
        <v>26.3</v>
      </c>
      <c r="G33">
        <v>41.5</v>
      </c>
      <c r="H33">
        <v>7.14</v>
      </c>
      <c r="J33" s="1">
        <f t="shared" si="0"/>
        <v>19.14</v>
      </c>
      <c r="K33" t="s">
        <v>53</v>
      </c>
    </row>
    <row r="34" spans="6:11" x14ac:dyDescent="0.3">
      <c r="F34">
        <v>26.4</v>
      </c>
      <c r="G34">
        <v>41.9</v>
      </c>
      <c r="H34">
        <v>7.18</v>
      </c>
      <c r="J34" s="1">
        <f t="shared" si="0"/>
        <v>19.18</v>
      </c>
      <c r="K34" t="s">
        <v>53</v>
      </c>
    </row>
    <row r="35" spans="6:11" x14ac:dyDescent="0.3">
      <c r="F35">
        <v>26.3</v>
      </c>
      <c r="G35">
        <v>42.3</v>
      </c>
      <c r="H35">
        <v>7.22</v>
      </c>
      <c r="J35" s="1">
        <f t="shared" si="0"/>
        <v>19.22</v>
      </c>
      <c r="K35" t="s">
        <v>53</v>
      </c>
    </row>
    <row r="36" spans="6:11" x14ac:dyDescent="0.3">
      <c r="F36">
        <v>26.3</v>
      </c>
      <c r="G36">
        <v>42.6</v>
      </c>
      <c r="H36">
        <v>7.25</v>
      </c>
      <c r="J36" s="1">
        <f t="shared" si="0"/>
        <v>19.25</v>
      </c>
      <c r="K36" t="s">
        <v>53</v>
      </c>
    </row>
    <row r="37" spans="6:11" x14ac:dyDescent="0.3">
      <c r="F37">
        <v>26.3</v>
      </c>
      <c r="G37">
        <v>43.3</v>
      </c>
      <c r="H37">
        <v>7.28</v>
      </c>
      <c r="J37" s="1">
        <f t="shared" si="0"/>
        <v>19.28</v>
      </c>
      <c r="K37" t="s">
        <v>53</v>
      </c>
    </row>
    <row r="38" spans="6:11" x14ac:dyDescent="0.3">
      <c r="F38">
        <v>26.3</v>
      </c>
      <c r="G38">
        <v>44</v>
      </c>
      <c r="H38">
        <v>7.32</v>
      </c>
      <c r="J38" s="1">
        <f t="shared" si="0"/>
        <v>19.32</v>
      </c>
      <c r="K38" t="s">
        <v>53</v>
      </c>
    </row>
    <row r="39" spans="6:11" x14ac:dyDescent="0.3">
      <c r="F39">
        <v>26.3</v>
      </c>
      <c r="G39">
        <v>44.6</v>
      </c>
      <c r="H39">
        <v>7.36</v>
      </c>
      <c r="J39" s="1">
        <f t="shared" si="0"/>
        <v>19.36</v>
      </c>
      <c r="K39" t="s">
        <v>53</v>
      </c>
    </row>
    <row r="40" spans="6:11" x14ac:dyDescent="0.3">
      <c r="F40">
        <v>26.3</v>
      </c>
      <c r="G40">
        <v>45.3</v>
      </c>
      <c r="H40">
        <v>7.4</v>
      </c>
      <c r="J40" s="1">
        <f>H40+12</f>
        <v>19.399999999999999</v>
      </c>
      <c r="K40" t="s">
        <v>53</v>
      </c>
    </row>
    <row r="41" spans="6:11" x14ac:dyDescent="0.3">
      <c r="F41">
        <v>26.4</v>
      </c>
      <c r="G41">
        <v>46</v>
      </c>
      <c r="H41">
        <v>7.44</v>
      </c>
      <c r="J41" s="1">
        <f t="shared" si="0"/>
        <v>19.440000000000001</v>
      </c>
      <c r="K41" t="s">
        <v>53</v>
      </c>
    </row>
    <row r="42" spans="6:11" x14ac:dyDescent="0.3">
      <c r="F42">
        <v>26.3</v>
      </c>
      <c r="G42">
        <v>46.9</v>
      </c>
      <c r="H42">
        <v>7.48</v>
      </c>
      <c r="J42" s="1">
        <f t="shared" si="0"/>
        <v>19.48</v>
      </c>
      <c r="K42" t="s">
        <v>53</v>
      </c>
    </row>
    <row r="43" spans="6:11" x14ac:dyDescent="0.3">
      <c r="F43">
        <v>26.2</v>
      </c>
      <c r="G43">
        <v>47.6</v>
      </c>
      <c r="H43">
        <v>7.52</v>
      </c>
      <c r="J43" s="1">
        <f t="shared" si="0"/>
        <v>19.52</v>
      </c>
      <c r="K43" t="s">
        <v>53</v>
      </c>
    </row>
    <row r="44" spans="6:11" x14ac:dyDescent="0.3">
      <c r="F44">
        <v>26.3</v>
      </c>
      <c r="G44">
        <v>48.1</v>
      </c>
      <c r="H44">
        <v>7.56</v>
      </c>
      <c r="J44" s="1">
        <f t="shared" si="0"/>
        <v>19.559999999999999</v>
      </c>
      <c r="K44" t="s">
        <v>53</v>
      </c>
    </row>
    <row r="45" spans="6:11" x14ac:dyDescent="0.3">
      <c r="F45">
        <v>26.2</v>
      </c>
      <c r="G45">
        <v>48.7</v>
      </c>
      <c r="H45">
        <v>8</v>
      </c>
      <c r="J45" s="1">
        <f t="shared" si="0"/>
        <v>20</v>
      </c>
      <c r="K45" t="s">
        <v>53</v>
      </c>
    </row>
    <row r="46" spans="6:11" x14ac:dyDescent="0.3">
      <c r="F46">
        <v>26.2</v>
      </c>
      <c r="G46">
        <v>49.3</v>
      </c>
      <c r="H46">
        <v>8.0399999999999991</v>
      </c>
      <c r="J46" s="1">
        <f t="shared" si="0"/>
        <v>20.04</v>
      </c>
      <c r="K46" t="s">
        <v>53</v>
      </c>
    </row>
    <row r="49" spans="6:11" x14ac:dyDescent="0.3">
      <c r="F49" s="19" t="s">
        <v>46</v>
      </c>
      <c r="G49" s="19"/>
      <c r="H49" s="19"/>
    </row>
    <row r="50" spans="6:11" x14ac:dyDescent="0.3">
      <c r="F50" s="19"/>
      <c r="G50" s="19"/>
      <c r="H50" s="19"/>
    </row>
    <row r="51" spans="6:11" x14ac:dyDescent="0.3">
      <c r="F51" s="19"/>
      <c r="G51" s="19"/>
      <c r="H51" s="19"/>
    </row>
    <row r="54" spans="6:11" x14ac:dyDescent="0.3">
      <c r="F54">
        <v>25.6</v>
      </c>
      <c r="G54">
        <v>47.5</v>
      </c>
      <c r="H54">
        <v>12.23</v>
      </c>
      <c r="I54" t="s">
        <v>47</v>
      </c>
      <c r="J54" s="1">
        <f>H54-12</f>
        <v>0.23000000000000043</v>
      </c>
      <c r="K54" t="s">
        <v>54</v>
      </c>
    </row>
    <row r="55" spans="6:11" x14ac:dyDescent="0.3">
      <c r="F55">
        <v>25.6</v>
      </c>
      <c r="G55">
        <v>47.4</v>
      </c>
      <c r="H55">
        <v>12.24</v>
      </c>
      <c r="J55" s="1">
        <f t="shared" ref="J55:J61" si="1">H55-12</f>
        <v>0.24000000000000021</v>
      </c>
      <c r="K55" t="s">
        <v>54</v>
      </c>
    </row>
    <row r="56" spans="6:11" x14ac:dyDescent="0.3">
      <c r="F56">
        <v>25.6</v>
      </c>
      <c r="G56">
        <v>47.2</v>
      </c>
      <c r="H56">
        <v>12.26</v>
      </c>
      <c r="J56" s="1">
        <f t="shared" si="1"/>
        <v>0.25999999999999979</v>
      </c>
      <c r="K56" t="s">
        <v>54</v>
      </c>
    </row>
    <row r="57" spans="6:11" x14ac:dyDescent="0.3">
      <c r="F57">
        <v>25.6</v>
      </c>
      <c r="G57">
        <v>47.3</v>
      </c>
      <c r="H57">
        <v>12.29</v>
      </c>
      <c r="J57" s="1">
        <f t="shared" si="1"/>
        <v>0.28999999999999915</v>
      </c>
      <c r="K57" t="s">
        <v>54</v>
      </c>
    </row>
    <row r="58" spans="6:11" x14ac:dyDescent="0.3">
      <c r="F58">
        <v>25.6</v>
      </c>
      <c r="G58">
        <v>47.1</v>
      </c>
      <c r="H58">
        <v>12.31</v>
      </c>
      <c r="J58" s="1">
        <f t="shared" si="1"/>
        <v>0.3100000000000005</v>
      </c>
      <c r="K58" t="s">
        <v>54</v>
      </c>
    </row>
    <row r="59" spans="6:11" x14ac:dyDescent="0.3">
      <c r="F59">
        <v>25.7</v>
      </c>
      <c r="G59">
        <v>47.1</v>
      </c>
      <c r="H59">
        <v>12.34</v>
      </c>
      <c r="J59" s="1">
        <f t="shared" si="1"/>
        <v>0.33999999999999986</v>
      </c>
      <c r="K59" t="s">
        <v>54</v>
      </c>
    </row>
    <row r="60" spans="6:11" x14ac:dyDescent="0.3">
      <c r="F60">
        <v>25.4</v>
      </c>
      <c r="G60">
        <v>46.2</v>
      </c>
      <c r="H60">
        <v>12.52</v>
      </c>
      <c r="J60" s="1">
        <f t="shared" si="1"/>
        <v>0.51999999999999957</v>
      </c>
      <c r="K60" t="s">
        <v>54</v>
      </c>
    </row>
    <row r="61" spans="6:11" x14ac:dyDescent="0.3">
      <c r="F61">
        <v>25.4</v>
      </c>
      <c r="G61">
        <v>46</v>
      </c>
      <c r="H61">
        <v>12.56</v>
      </c>
      <c r="J61" s="1">
        <f t="shared" si="1"/>
        <v>0.5600000000000005</v>
      </c>
      <c r="K61" t="s">
        <v>54</v>
      </c>
    </row>
    <row r="62" spans="6:11" x14ac:dyDescent="0.3">
      <c r="F62">
        <v>25.6</v>
      </c>
      <c r="G62">
        <v>45.7</v>
      </c>
      <c r="H62">
        <v>1.04</v>
      </c>
      <c r="J62" s="1">
        <v>1.04</v>
      </c>
      <c r="K62" t="s">
        <v>54</v>
      </c>
    </row>
    <row r="63" spans="6:11" x14ac:dyDescent="0.3">
      <c r="F63">
        <v>25.8</v>
      </c>
      <c r="G63">
        <v>44.9</v>
      </c>
      <c r="H63">
        <v>1.1399999999999999</v>
      </c>
      <c r="J63" s="1">
        <v>1.1399999999999999</v>
      </c>
      <c r="K63" t="s">
        <v>54</v>
      </c>
    </row>
    <row r="64" spans="6:11" x14ac:dyDescent="0.3">
      <c r="F64">
        <v>25.7</v>
      </c>
      <c r="G64">
        <v>44.9</v>
      </c>
      <c r="H64">
        <v>1.18</v>
      </c>
      <c r="J64" s="1">
        <v>1.18</v>
      </c>
      <c r="K64" t="s">
        <v>54</v>
      </c>
    </row>
    <row r="65" spans="6:11" x14ac:dyDescent="0.3">
      <c r="F65">
        <v>25.8</v>
      </c>
      <c r="G65">
        <v>44.7</v>
      </c>
      <c r="H65">
        <v>1.22</v>
      </c>
      <c r="J65" s="1">
        <v>1.22</v>
      </c>
      <c r="K65" t="s">
        <v>54</v>
      </c>
    </row>
    <row r="66" spans="6:11" x14ac:dyDescent="0.3">
      <c r="F66">
        <v>25.8</v>
      </c>
      <c r="G66">
        <v>44.3</v>
      </c>
      <c r="H66">
        <v>1.28</v>
      </c>
      <c r="J66" s="1">
        <v>1.28</v>
      </c>
      <c r="K66" t="s">
        <v>54</v>
      </c>
    </row>
    <row r="67" spans="6:11" x14ac:dyDescent="0.3">
      <c r="F67">
        <v>26</v>
      </c>
      <c r="G67">
        <v>44.3</v>
      </c>
      <c r="H67">
        <v>1.36</v>
      </c>
      <c r="J67" s="1">
        <v>1.36</v>
      </c>
      <c r="K67" t="s">
        <v>54</v>
      </c>
    </row>
    <row r="68" spans="6:11" x14ac:dyDescent="0.3">
      <c r="F68">
        <v>25.9</v>
      </c>
      <c r="G68">
        <v>43.8</v>
      </c>
      <c r="H68">
        <v>1.37</v>
      </c>
      <c r="J68" s="1">
        <v>1.37</v>
      </c>
      <c r="K68" t="s">
        <v>54</v>
      </c>
    </row>
    <row r="69" spans="6:11" x14ac:dyDescent="0.3">
      <c r="F69">
        <v>25.8</v>
      </c>
      <c r="G69">
        <v>43.5</v>
      </c>
      <c r="H69">
        <v>1.49</v>
      </c>
      <c r="J69" s="1">
        <v>1.49</v>
      </c>
      <c r="K69" t="s">
        <v>54</v>
      </c>
    </row>
    <row r="70" spans="6:11" x14ac:dyDescent="0.3">
      <c r="F70">
        <v>25.8</v>
      </c>
      <c r="G70">
        <v>43.5</v>
      </c>
      <c r="H70">
        <v>1.53</v>
      </c>
      <c r="J70" s="1">
        <v>1.53</v>
      </c>
      <c r="K70" t="s">
        <v>54</v>
      </c>
    </row>
    <row r="71" spans="6:11" x14ac:dyDescent="0.3">
      <c r="F71">
        <v>25.8</v>
      </c>
      <c r="G71">
        <v>43.3</v>
      </c>
      <c r="H71">
        <v>1.58</v>
      </c>
      <c r="J71" s="1">
        <v>1.58</v>
      </c>
      <c r="K71" t="s">
        <v>54</v>
      </c>
    </row>
    <row r="72" spans="6:11" x14ac:dyDescent="0.3">
      <c r="F72">
        <v>25.8</v>
      </c>
      <c r="G72">
        <v>42.5</v>
      </c>
      <c r="H72">
        <v>2.14</v>
      </c>
      <c r="J72" s="1">
        <v>2.14</v>
      </c>
      <c r="K72" t="s">
        <v>54</v>
      </c>
    </row>
    <row r="73" spans="6:11" x14ac:dyDescent="0.3">
      <c r="F73">
        <v>25.9</v>
      </c>
      <c r="G73">
        <v>42.2</v>
      </c>
      <c r="H73">
        <v>2.27</v>
      </c>
      <c r="J73" s="1">
        <v>2.27</v>
      </c>
      <c r="K73" t="s">
        <v>54</v>
      </c>
    </row>
    <row r="74" spans="6:11" x14ac:dyDescent="0.3">
      <c r="F74">
        <v>26</v>
      </c>
      <c r="G74">
        <v>41.6</v>
      </c>
      <c r="H74">
        <v>2.4300000000000002</v>
      </c>
      <c r="J74" s="1">
        <v>2.4300000000000002</v>
      </c>
      <c r="K74" t="s">
        <v>54</v>
      </c>
    </row>
    <row r="77" spans="6:11" x14ac:dyDescent="0.3">
      <c r="F77" s="19" t="s">
        <v>48</v>
      </c>
      <c r="G77" s="19"/>
      <c r="H77" s="19"/>
    </row>
    <row r="78" spans="6:11" x14ac:dyDescent="0.3">
      <c r="F78" s="19"/>
      <c r="G78" s="19"/>
      <c r="H78" s="19"/>
    </row>
    <row r="79" spans="6:11" x14ac:dyDescent="0.3">
      <c r="F79" s="19"/>
      <c r="G79" s="19"/>
      <c r="H79" s="19"/>
    </row>
    <row r="82" spans="6:11" x14ac:dyDescent="0.3">
      <c r="F82">
        <v>26.2</v>
      </c>
      <c r="G82">
        <v>28.6</v>
      </c>
      <c r="H82">
        <v>7.36</v>
      </c>
      <c r="I82" t="s">
        <v>50</v>
      </c>
      <c r="J82" s="1">
        <f>H82+12</f>
        <v>19.36</v>
      </c>
      <c r="K82" t="s">
        <v>55</v>
      </c>
    </row>
    <row r="83" spans="6:11" x14ac:dyDescent="0.3">
      <c r="F83">
        <v>26.8</v>
      </c>
      <c r="G83">
        <v>28.5</v>
      </c>
      <c r="H83">
        <v>7.57</v>
      </c>
      <c r="J83" s="1">
        <f t="shared" ref="J83:J84" si="2">H83+12</f>
        <v>19.57</v>
      </c>
      <c r="K83" t="s">
        <v>55</v>
      </c>
    </row>
    <row r="84" spans="6:11" x14ac:dyDescent="0.3">
      <c r="F84">
        <v>26.3</v>
      </c>
      <c r="G84">
        <v>28.3</v>
      </c>
      <c r="H84">
        <v>9.49</v>
      </c>
      <c r="J84" s="1">
        <f t="shared" si="2"/>
        <v>21.490000000000002</v>
      </c>
      <c r="K84" t="s">
        <v>55</v>
      </c>
    </row>
    <row r="85" spans="6:11" x14ac:dyDescent="0.3">
      <c r="F85">
        <v>26.2</v>
      </c>
      <c r="G85">
        <v>27.9</v>
      </c>
      <c r="H85">
        <v>12.17</v>
      </c>
      <c r="I85" t="s">
        <v>49</v>
      </c>
      <c r="J85" s="1">
        <f>H85-12</f>
        <v>0.16999999999999993</v>
      </c>
      <c r="K85" t="s">
        <v>56</v>
      </c>
    </row>
    <row r="88" spans="6:11" x14ac:dyDescent="0.3">
      <c r="F88" s="19" t="s">
        <v>51</v>
      </c>
      <c r="G88" s="19"/>
      <c r="H88" s="19"/>
    </row>
    <row r="89" spans="6:11" x14ac:dyDescent="0.3">
      <c r="F89" s="19"/>
      <c r="G89" s="19"/>
      <c r="H89" s="19"/>
    </row>
    <row r="90" spans="6:11" x14ac:dyDescent="0.3">
      <c r="F90" s="19"/>
      <c r="G90" s="19"/>
      <c r="H90" s="19"/>
    </row>
    <row r="93" spans="6:11" x14ac:dyDescent="0.3">
      <c r="F93">
        <v>25.5</v>
      </c>
      <c r="G93">
        <v>26.1</v>
      </c>
      <c r="H93">
        <v>9.1</v>
      </c>
      <c r="J93" s="1">
        <f>H93</f>
        <v>9.1</v>
      </c>
      <c r="K93" t="s">
        <v>56</v>
      </c>
    </row>
    <row r="94" spans="6:11" x14ac:dyDescent="0.3">
      <c r="F94">
        <v>26.3</v>
      </c>
      <c r="G94">
        <v>26.2</v>
      </c>
      <c r="H94">
        <v>10.33</v>
      </c>
      <c r="J94" s="1">
        <f>H94</f>
        <v>10.33</v>
      </c>
      <c r="K94" t="s">
        <v>56</v>
      </c>
    </row>
  </sheetData>
  <mergeCells count="3">
    <mergeCell ref="F49:H51"/>
    <mergeCell ref="F77:H79"/>
    <mergeCell ref="F88:H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Calibration </vt:lpstr>
      <vt:lpstr>Exp-1, CEM 1</vt:lpstr>
      <vt:lpstr>Exp-2, CEM -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Nur Tushar</dc:creator>
  <cp:lastModifiedBy>Abdur Nur Tushar</cp:lastModifiedBy>
  <dcterms:created xsi:type="dcterms:W3CDTF">2026-01-24T04:01:35Z</dcterms:created>
  <dcterms:modified xsi:type="dcterms:W3CDTF">2026-06-11T18:20:22Z</dcterms:modified>
</cp:coreProperties>
</file>